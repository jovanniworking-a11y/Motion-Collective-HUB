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Drinks" sheetId="2" state="visible" r:id="rId4"/>
    <sheet name="Ice &amp; Cups" sheetId="3" state="visible" r:id="rId5"/>
    <sheet name="Decor" sheetId="4" state="visible" r:id="rId6"/>
    <sheet name="DIY (Maker)" sheetId="5" state="visible" r:id="rId7"/>
    <sheet name="Smoking" sheetId="6" state="visible" r:id="rId8"/>
    <sheet name="Hats" sheetId="7" state="visible" r:id="rId9"/>
    <sheet name="Shopping Run" sheetId="8" state="visible" r:id="rId10"/>
    <sheet name="Sourc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<sst xmlns="http://schemas.openxmlformats.org/spreadsheetml/2006/main" count="416" uniqueCount="311">
  <si>
    <t xml:space="preserve">Devil's Night · AFTERIMAGE 001 — budget</t>
  </si>
  <si>
    <t xml:space="preserve">Fri 30 Oct 2026 · Rio · doors 9 · close 2. Prices before tax, seen 1–5 Oct 2026. Blue = inputs, green = from other tabs.</t>
  </si>
  <si>
    <t xml:space="preserve">Crew</t>
  </si>
  <si>
    <t xml:space="preserve">Each puts in</t>
  </si>
  <si>
    <t xml:space="preserve">Pool</t>
  </si>
  <si>
    <t xml:space="preserve">Line</t>
  </si>
  <si>
    <t xml:space="preserve">$</t>
  </si>
  <si>
    <t xml:space="preserve">Note</t>
  </si>
  <si>
    <t xml:space="preserve">he/they (co.b_nguyen b2b Nioon)</t>
  </si>
  <si>
    <t xml:space="preserve">Confirmed</t>
  </si>
  <si>
    <t xml:space="preserve">Rohan Rali</t>
  </si>
  <si>
    <t xml:space="preserve">Confirmed 5 Oct</t>
  </si>
  <si>
    <t xml:space="preserve">Glamz</t>
  </si>
  <si>
    <t xml:space="preserve">NOT confirmed — not budgeted</t>
  </si>
  <si>
    <t xml:space="preserve">Drinks</t>
  </si>
  <si>
    <t xml:space="preserve">2 JJs + cans + soju</t>
  </si>
  <si>
    <t xml:space="preserve">Ice</t>
  </si>
  <si>
    <t xml:space="preserve">Picked source</t>
  </si>
  <si>
    <t xml:space="preserve">Cups</t>
  </si>
  <si>
    <t xml:space="preserve">Water, napkins, dispensers</t>
  </si>
  <si>
    <t xml:space="preserve">Decor</t>
  </si>
  <si>
    <t xml:space="preserve">Retail vs eBay best picks</t>
  </si>
  <si>
    <t xml:space="preserve">DIY at the maker space</t>
  </si>
  <si>
    <t xml:space="preserve">EST materials</t>
  </si>
  <si>
    <t xml:space="preserve">Smoking spot</t>
  </si>
  <si>
    <t xml:space="preserve">Food</t>
  </si>
  <si>
    <t xml:space="preserve">TBD</t>
  </si>
  <si>
    <t xml:space="preserve">CDJ backup (Rock n Roll Rentals)</t>
  </si>
  <si>
    <t xml:space="preserve">$375/weekend only if Rapid Ric falls through</t>
  </si>
  <si>
    <t xml:space="preserve">Party total</t>
  </si>
  <si>
    <t xml:space="preserve">Left in pool</t>
  </si>
  <si>
    <t xml:space="preserve">Cap 01 (separate — merch)</t>
  </si>
  <si>
    <t xml:space="preserve">Route picked on Hats tab</t>
  </si>
  <si>
    <t xml:space="preserve">Left if the pool also pays caps</t>
  </si>
  <si>
    <t xml:space="preserve">Guest drinks covered</t>
  </si>
  <si>
    <t xml:space="preserve">Our drinks vs guests × drinks each (Drinks tab)</t>
  </si>
  <si>
    <t xml:space="preserve">Drinks · 2 jungle juices + cans</t>
  </si>
  <si>
    <t xml:space="preserve">Blue = inputs you can change. Std drink = 0.6 oz alcohol. BYOB tops up the rest.</t>
  </si>
  <si>
    <t xml:space="preserve">Item</t>
  </si>
  <si>
    <t xml:space="preserve">Group</t>
  </si>
  <si>
    <t xml:space="preserve">Store</t>
  </si>
  <si>
    <t xml:space="preserve">Qty</t>
  </si>
  <si>
    <t xml:space="preserve">Unit $</t>
  </si>
  <si>
    <t xml:space="preserve">Cost</t>
  </si>
  <si>
    <t xml:space="preserve">Oz each</t>
  </si>
  <si>
    <t xml:space="preserve">ABV</t>
  </si>
  <si>
    <t xml:space="preserve">Std drinks</t>
  </si>
  <si>
    <t xml:space="preserve">Guest?</t>
  </si>
  <si>
    <t xml:space="preserve">Note / link</t>
  </si>
  <si>
    <t xml:space="preserve">Svedka vodka 1.75 L</t>
  </si>
  <si>
    <t xml:space="preserve">Vodka JJ</t>
  </si>
  <si>
    <t xml:space="preserve">Twin Liquors</t>
  </si>
  <si>
    <t xml:space="preserve">Y</t>
  </si>
  <si>
    <t xml:space="preserve">https://twinliquors.com/shop/product/svedka-80-proof-vodka/564bd7e469702d5e6e6e0000</t>
  </si>
  <si>
    <t xml:space="preserve">Hawaiian Punch 1 gal</t>
  </si>
  <si>
    <t xml:space="preserve">H-E-B</t>
  </si>
  <si>
    <t xml:space="preserve">Pineapple juice 64 oz</t>
  </si>
  <si>
    <t xml:space="preserve">Sprite 2 L</t>
  </si>
  <si>
    <t xml:space="preserve">Lunazul Blanco tequila 1.75 L</t>
  </si>
  <si>
    <t xml:space="preserve">Tequila JJ</t>
  </si>
  <si>
    <t xml:space="preserve">https://twinliquors.com/ (Lunazul 1.75 L)</t>
  </si>
  <si>
    <t xml:space="preserve">DeKuyper Triple Sec 1 L (16 oz used)</t>
  </si>
  <si>
    <t xml:space="preserve">Only 16 oz goes in; rest kept.</t>
  </si>
  <si>
    <t xml:space="preserve">H-E-B limeade 52 oz</t>
  </si>
  <si>
    <t xml:space="preserve">H-E-B cranberry cocktail 96 oz</t>
  </si>
  <si>
    <t xml:space="preserve">https://www.heb.com/product-detail/h-e-b-cranberry-cocktail-juice/5785031</t>
  </si>
  <si>
    <t xml:space="preserve">BeatBox Party Box 6 × 500 ml</t>
  </si>
  <si>
    <t xml:space="preserve">Cans</t>
  </si>
  <si>
    <t xml:space="preserve">https://www.heb.com/product-detail/beatbox-party-box-variety-pack/5508020</t>
  </si>
  <si>
    <t xml:space="preserve">BuzzBallz Chiller 187 ml</t>
  </si>
  <si>
    <t xml:space="preserve">https://www.heb.com/product-detail/buzzballz-sour-apple-chiller/2787503 (ABV assumed 15%)</t>
  </si>
  <si>
    <t xml:space="preserve">White Claw variety 24 pk</t>
  </si>
  <si>
    <t xml:space="preserve">https://www.heb.com/product-detail/white-claw-hard-seltzer-variety-24-pk-cans/3758568</t>
  </si>
  <si>
    <t xml:space="preserve">Miller Lite 30 pk</t>
  </si>
  <si>
    <t xml:space="preserve">Walmart</t>
  </si>
  <si>
    <t xml:space="preserve">https://www.walmart.com/ip/10984520</t>
  </si>
  <si>
    <t xml:space="preserve">Jinro Chamisul Fresh soju 750 ml</t>
  </si>
  <si>
    <t xml:space="preserve">he/they rider</t>
  </si>
  <si>
    <t xml:space="preserve">N</t>
  </si>
  <si>
    <t xml:space="preserve">For the b2b, not guests.</t>
  </si>
  <si>
    <t xml:space="preserve">Drinks total</t>
  </si>
  <si>
    <t xml:space="preserve">Batch check</t>
  </si>
  <si>
    <t xml:space="preserve">Vodka JJ volume (gal)</t>
  </si>
  <si>
    <t xml:space="preserve">Vodka JJ strength</t>
  </si>
  <si>
    <t xml:space="preserve">Tequila JJ volume (gal)</t>
  </si>
  <si>
    <t xml:space="preserve">Tequila JJ strength</t>
  </si>
  <si>
    <t xml:space="preserve">Serve: 1 std drink of JJ ≈ oz</t>
  </si>
  <si>
    <t xml:space="preserve">→ an 8 oz pour in a 16 oz cup over ice ≈ 1 drink</t>
  </si>
  <si>
    <t xml:space="preserve">Do we have enough?</t>
  </si>
  <si>
    <t xml:space="preserve">Drinking guests</t>
  </si>
  <si>
    <t xml:space="preserve">70 cap; BYOB, so not everyone drinks ours</t>
  </si>
  <si>
    <t xml:space="preserve">Drinks each from us</t>
  </si>
  <si>
    <t xml:space="preserve">Needed</t>
  </si>
  <si>
    <t xml:space="preserve">We have</t>
  </si>
  <si>
    <t xml:space="preserve">Covered</t>
  </si>
  <si>
    <t xml:space="preserve">Cost per std drink</t>
  </si>
  <si>
    <t xml:space="preserve">Backup if JJ runs dry: second vodka batch ≈ $29, second tequila batch ≈ $49 (same recipe).</t>
  </si>
  <si>
    <t xml:space="preserve">Texas: spirits only at package stores (Twin, Spec's, WB Liquors at Costco Kelly Ln), Mon–Sat 10am–9pm, closed Sun. Buy liquor by Thu 29 Oct; grocery stuff any day.</t>
  </si>
  <si>
    <t xml:space="preserve">Ice, cups, serving</t>
  </si>
  <si>
    <t xml:space="preserve">Prices seen 5 Oct 2026. Pick = the one that goes into the budget (Y/N).</t>
  </si>
  <si>
    <t xml:space="preserve">Ice needed (lb)</t>
  </si>
  <si>
    <t xml:space="preserve">≈ 1 lb per guest for cups + ~90 lb for the cooler/tubs over 5 hours</t>
  </si>
  <si>
    <t xml:space="preserve">Ice source</t>
  </si>
  <si>
    <t xml:space="preserve">Where</t>
  </si>
  <si>
    <t xml:space="preserve">lb / bag</t>
  </si>
  <si>
    <t xml:space="preserve">$ / bag</t>
  </si>
  <si>
    <t xml:space="preserve">$ / lb</t>
  </si>
  <si>
    <t xml:space="preserve">Bags</t>
  </si>
  <si>
    <t xml:space="preserve">Pick?  ·  note</t>
  </si>
  <si>
    <t xml:space="preserve">Texas Cold Front ice house (Twice the Ice)</t>
  </si>
  <si>
    <t xml:space="preserve">448 FM 685 / 15803 Windermere Dr, Pflugerville · 24/7</t>
  </si>
  <si>
    <t xml:space="preserve">EST $3/20 lb (typical TTI price) — check with free first bag, code FREEICE. tticlub.com/TexasColdFront</t>
  </si>
  <si>
    <t xml:space="preserve">Walmart bagged ice</t>
  </si>
  <si>
    <t xml:space="preserve">Pflugerville Walmart</t>
  </si>
  <si>
    <t xml:space="preserve">Confirmed price. Backup.</t>
  </si>
  <si>
    <t xml:space="preserve">Twin Liquors 20 lb</t>
  </si>
  <si>
    <t xml:space="preserve">1700 E Palm Valley, Round Rock</t>
  </si>
  <si>
    <t xml:space="preserve">twinliquors.com</t>
  </si>
  <si>
    <t xml:space="preserve">H-E-B bagged ice</t>
  </si>
  <si>
    <t xml:space="preserve">any H-E-B</t>
  </si>
  <si>
    <t xml:space="preserve">Artic Refresh kiosk</t>
  </si>
  <si>
    <t xml:space="preserve">several Austin kiosks · 24/7</t>
  </si>
  <si>
    <t xml:space="preserve">articrefresh.com</t>
  </si>
  <si>
    <t xml:space="preserve">Cups needed</t>
  </si>
  <si>
    <t xml:space="preserve">≈ 3.5 per guest (people lose cups)</t>
  </si>
  <si>
    <t xml:space="preserve">Clear 16 oz cups</t>
  </si>
  <si>
    <t xml:space="preserve">Per pack</t>
  </si>
  <si>
    <t xml:space="preserve">$ / pack</t>
  </si>
  <si>
    <t xml:space="preserve">$ / cup</t>
  </si>
  <si>
    <t xml:space="preserve">Packs</t>
  </si>
  <si>
    <t xml:space="preserve">Member's Mark clear 16 oz</t>
  </si>
  <si>
    <t xml:space="preserve">Sam's Club</t>
  </si>
  <si>
    <t xml:space="preserve">https://www.samsclub.com/p/members-mark-clear-plastic-cups-16oz-132ct/prod13710456</t>
  </si>
  <si>
    <t xml:space="preserve">Great Value clear 16 oz</t>
  </si>
  <si>
    <t xml:space="preserve">Same-day pickup. https://www.walmart.com/ip/28212763</t>
  </si>
  <si>
    <t xml:space="preserve">Choice clear PET 16 oz, case</t>
  </si>
  <si>
    <t xml:space="preserve">WebstaurantStore</t>
  </si>
  <si>
    <t xml:space="preserve">Cheapest per cup + shipping; 750 left for future MOTION nights</t>
  </si>
  <si>
    <t xml:space="preserve">H-E-B clear 18 oz</t>
  </si>
  <si>
    <t xml:space="preserve">18 oz</t>
  </si>
  <si>
    <t xml:space="preserve">True clear 16 oz</t>
  </si>
  <si>
    <t xml:space="preserve">Target</t>
  </si>
  <si>
    <t xml:space="preserve">Too expensive</t>
  </si>
  <si>
    <t xml:space="preserve">Other serving</t>
  </si>
  <si>
    <t xml:space="preserve">$ each</t>
  </si>
  <si>
    <t xml:space="preserve">Bottled water 24-pack</t>
  </si>
  <si>
    <t xml:space="preserve">https://www.heb.com/product-detail/1042431</t>
  </si>
  <si>
    <t xml:space="preserve">Napkins 500 ct</t>
  </si>
  <si>
    <t xml:space="preserve">https://www.heb.com/product-detail/645601</t>
  </si>
  <si>
    <t xml:space="preserve">2 gal glass dispenser (one per JJ)</t>
  </si>
  <si>
    <t xml:space="preserve">Target · Threshold</t>
  </si>
  <si>
    <t xml:space="preserve">Mix each JJ in a bucket/cooler, refill the dispenser</t>
  </si>
  <si>
    <t xml:space="preserve">3 gal acrylic dispenser, ice core</t>
  </si>
  <si>
    <t xml:space="preserve">Shatterproof, holds a whole batch</t>
  </si>
  <si>
    <t xml:space="preserve">Decor · retail vs eBay / Grailed</t>
  </si>
  <si>
    <t xml:space="preserve">Best price picked per item. Grailed had nothing useful (only streetwear). Order eBay by ~12 Oct to land by 27 Oct.</t>
  </si>
  <si>
    <t xml:space="preserve">Zone</t>
  </si>
  <si>
    <t xml:space="preserve">Retail option</t>
  </si>
  <si>
    <t xml:space="preserve">Retail $</t>
  </si>
  <si>
    <t xml:space="preserve">eBay option</t>
  </si>
  <si>
    <t xml:space="preserve">eBay $ (+ship)</t>
  </si>
  <si>
    <t xml:space="preserve">Best $</t>
  </si>
  <si>
    <t xml:space="preserve">Pick?</t>
  </si>
  <si>
    <t xml:space="preserve">Why / link</t>
  </si>
  <si>
    <t xml:space="preserve">Mirror ball 20" + motor + pin light</t>
  </si>
  <si>
    <t xml:space="preserve">Floor</t>
  </si>
  <si>
    <t xml:space="preserve">Misc Rentals, E 51st (rent)</t>
  </si>
  <si>
    <t xml:space="preserve">EM16 16" new</t>
  </si>
  <si>
    <t xml:space="preserve">Rent. eBay balls 2–4× more, no used ones. miscaustin.com</t>
  </si>
  <si>
    <t xml:space="preserve">Leopard throw / rug under decks</t>
  </si>
  <si>
    <t xml:space="preserve">Garvee 5×7 rug</t>
  </si>
  <si>
    <t xml:space="preserve">Leopard faux-fur throw 50×60</t>
  </si>
  <si>
    <t xml:space="preserve">Throw is $29 cheaper. ebay.com/itm/124847880165</t>
  </si>
  <si>
    <t xml:space="preserve">Gothic candelabra, 5-arm iron</t>
  </si>
  <si>
    <t xml:space="preserve">Bar</t>
  </si>
  <si>
    <t xml:space="preserve">—</t>
  </si>
  <si>
    <t xml:space="preserve">Vintage wrought iron 20" (used, Best Offer)</t>
  </si>
  <si>
    <t xml:space="preserve">No retail baseline. ebay.com/itm/158261116085</t>
  </si>
  <si>
    <t xml:space="preserve">Black LED taper candles, 4-pk</t>
  </si>
  <si>
    <t xml:space="preserve">Flameless w/ timer, ships from Houston</t>
  </si>
  <si>
    <t xml:space="preserve">ebay.com/itm/256904542238</t>
  </si>
  <si>
    <t xml:space="preserve">Black creepy cloth (hall windows)</t>
  </si>
  <si>
    <t xml:space="preserve">Witch</t>
  </si>
  <si>
    <t xml:space="preserve">Walmart AGCAN 197×79"</t>
  </si>
  <si>
    <t xml:space="preserve">6-pk 30×72" (ships from Israel, ~16 Oct)</t>
  </si>
  <si>
    <t xml:space="preserve">Walmart piece is one big sheet — easier.</t>
  </si>
  <si>
    <t xml:space="preserve">Black eucalyptus stems</t>
  </si>
  <si>
    <t xml:space="preserve">eBay listing from 1 Oct</t>
  </si>
  <si>
    <t xml:space="preserve">No active black listing 5 Oct</t>
  </si>
  <si>
    <t xml:space="preserve">Or green stems $20.69 + black spray paint</t>
  </si>
  <si>
    <t xml:space="preserve">Red filament bulbs, 2-pk</t>
  </si>
  <si>
    <t xml:space="preserve">Home Depot · Sunlite</t>
  </si>
  <si>
    <t xml:space="preserve">homedepot.com</t>
  </si>
  <si>
    <t xml:space="preserve">Ornate antique-black frame 18×24</t>
  </si>
  <si>
    <t xml:space="preserve">Walls</t>
  </si>
  <si>
    <t xml:space="preserve">Target · Craig Frames</t>
  </si>
  <si>
    <t xml:space="preserve">None that size</t>
  </si>
  <si>
    <t xml:space="preserve">Skip unless Open Canopy art needs it</t>
  </si>
  <si>
    <t xml:space="preserve">24" round baroque mirror, black</t>
  </si>
  <si>
    <t xml:space="preserve">Walmart · YIDIE</t>
  </si>
  <si>
    <t xml:space="preserve">28" black $111.14</t>
  </si>
  <si>
    <t xml:space="preserve">Thrift first (Uncommon Objects, Top Drawer)</t>
  </si>
  <si>
    <t xml:space="preserve">Decor (picked)</t>
  </si>
  <si>
    <t xml:space="preserve">Free: borrow 2–3 pieces from local artists (Open Canopy contacts) for wall credit + IG tag + invite.</t>
  </si>
  <si>
    <t xml:space="preserve">eBay delivery dates were quoted to an Ohio ZIP; all active listings showed 7–17 Oct, so Austin should be similar.</t>
  </si>
  <si>
    <t xml:space="preserve">Make it ourselves</t>
  </si>
  <si>
    <t xml:space="preserve">UT Libraries Foundry (Fine Arts Library 3.200) = free for UT students/staff, cert needed per machine. Call (512) 495-4481 for print costs.</t>
  </si>
  <si>
    <t xml:space="preserve">Make</t>
  </si>
  <si>
    <t xml:space="preserve">Machine</t>
  </si>
  <si>
    <t xml:space="preserve">Est. materials $</t>
  </si>
  <si>
    <t xml:space="preserve">Notes</t>
  </si>
  <si>
    <t xml:space="preserve">Eye triptych, 3 × 24×36 posters</t>
  </si>
  <si>
    <t xml:space="preserve">UT Foundry</t>
  </si>
  <si>
    <t xml:space="preserve">Large-format printer</t>
  </si>
  <si>
    <t xml:space="preserve">EST — Foundry print cost not posted. FedEx Guadalupe is the paid backup.</t>
  </si>
  <si>
    <t xml:space="preserve">MOTION acrylic logo sign</t>
  </si>
  <si>
    <t xml:space="preserve">UT Foundry or Texas Inventionworks</t>
  </si>
  <si>
    <t xml:space="preserve">Laser cutter</t>
  </si>
  <si>
    <t xml:space="preserve">EST — one 12×24 black or clear acrylic sheet.</t>
  </si>
  <si>
    <t xml:space="preserve">"VODKA" / "TEQUILA" dispenser labels</t>
  </si>
  <si>
    <t xml:space="preserve">Texas Inventionworks</t>
  </si>
  <si>
    <t xml:space="preserve">Vinyl / sticker machine</t>
  </si>
  <si>
    <t xml:space="preserve">EST. Bodoni, ice blue + red.</t>
  </si>
  <si>
    <t xml:space="preserve">Smoking-area sign 5×7</t>
  </si>
  <si>
    <t xml:space="preserve">UT Foundry / any printer</t>
  </si>
  <si>
    <t xml:space="preserve">Printer or laser</t>
  </si>
  <si>
    <t xml:space="preserve">EST. Flyer font.</t>
  </si>
  <si>
    <t xml:space="preserve">Cap 01 side eyes as patches</t>
  </si>
  <si>
    <t xml:space="preserve">Baby Lock embroidery (flat)</t>
  </si>
  <si>
    <t xml:space="preserve">EST. No cap frame — stitch eyes flat on twill, cut, sew/heat-press on. Only if we go DIY caps.</t>
  </si>
  <si>
    <t xml:space="preserve">DIY (picked)</t>
  </si>
  <si>
    <t xml:space="preserve">Other spaces: Asmbly (9701 Dessau Rd, near Pflugerville) $95/mo, laser + vinyl + Brother SE600 (4×4" max). APL Central: 3D print only.</t>
  </si>
  <si>
    <t xml:space="preserve">Balcony smoking spot</t>
  </si>
  <si>
    <t xml:space="preserve">21+ only (TX). We can hand out free to 21+ guests — we can't sell. Check the Rio lease allows balcony smoking.</t>
  </si>
  <si>
    <t xml:space="preserve">Cigarettes, pack (e.g. Marlboro)</t>
  </si>
  <si>
    <t xml:space="preserve">any gas station / H-E-B</t>
  </si>
  <si>
    <t xml:space="preserve">EST — Austin ≈ $9–10/pack (WPR $10.04 TX avg, Jan 2026)</t>
  </si>
  <si>
    <t xml:space="preserve">BIC Maxi lighters, 5-pk</t>
  </si>
  <si>
    <t xml:space="preserve">https://www.walmart.com/ip/24705330</t>
  </si>
  <si>
    <t xml:space="preserve">Windproof lidded ashtray, black</t>
  </si>
  <si>
    <t xml:space="preserve">Walmart · XTORKIT</t>
  </si>
  <si>
    <t xml:space="preserve">Beat eBay ($31.40)</t>
  </si>
  <si>
    <t xml:space="preserve">Sand bucket for butts (backup)</t>
  </si>
  <si>
    <t xml:space="preserve">any</t>
  </si>
  <si>
    <t xml:space="preserve">Use a spare can + sand/water</t>
  </si>
  <si>
    <t xml:space="preserve">Smoking total</t>
  </si>
  <si>
    <t xml:space="preserve">Cap 01 · 24 caps, front logo + side eyes</t>
  </si>
  <si>
    <t xml:space="preserve">Blank: District DT600 distressed dad hat $6.61 (Blankstyle, $100+ cart). Need caps by Wed 28 Oct — order by ~12 Oct.</t>
  </si>
  <si>
    <t xml:space="preserve">Caps</t>
  </si>
  <si>
    <t xml:space="preserve">DT600 blank $</t>
  </si>
  <si>
    <t xml:space="preserve">Route</t>
  </si>
  <si>
    <t xml:space="preserve">Embroidery / cap</t>
  </si>
  <si>
    <t xml:space="preserve">Side / cap</t>
  </si>
  <si>
    <t xml:space="preserve">Blank / cap</t>
  </si>
  <si>
    <t xml:space="preserve">One-time $</t>
  </si>
  <si>
    <t xml:space="preserve">Total</t>
  </si>
  <si>
    <t xml:space="preserve">Per cap</t>
  </si>
  <si>
    <t xml:space="preserve">Turnaround · notes</t>
  </si>
  <si>
    <t xml:space="preserve">Printful (Yupoong 6245CM)</t>
  </si>
  <si>
    <t xml:space="preserve">2–5 biz days + ship. Blank included. Order 25 → digitizing free; else $6.50/file. Side fee per-hat unconfirmed.</t>
  </si>
  <si>
    <t xml:space="preserve">Bolt Printing (VC300A)</t>
  </si>
  <si>
    <t xml:space="preserve">9–14 biz days (tight). Front incl. digitizing ≤8k stitches; side is EST — quote.</t>
  </si>
  <si>
    <t xml:space="preserve">Neatko, Leander (local)</t>
  </si>
  <si>
    <t xml:space="preserve">5–7 biz days. $15–25 per placement (midpoint used). No minimum. Quote: neatko.com/quote</t>
  </si>
  <si>
    <t xml:space="preserve">Austin Print Co, Cedar Park (local)</t>
  </si>
  <si>
    <t xml:space="preserve">Quote needed: (512) 200-2556. Digitizing incl., no setup fee, 'a few days'.</t>
  </si>
  <si>
    <t xml:space="preserve">DIY patches at UT Foundry</t>
  </si>
  <si>
    <t xml:space="preserve">EST materials. Labour is ours. Eyes simplified to 2–3 tones.</t>
  </si>
  <si>
    <t xml:space="preserve">Pick route (row name)</t>
  </si>
  <si>
    <t xml:space="preserve">Hats cost</t>
  </si>
  <si>
    <t xml:space="preserve">Halftone eyes won't stitch clean at 2.75×1.5" — simplify to 2–3 flat tones or bold line art before digitizing.</t>
  </si>
  <si>
    <t xml:space="preserve">Colourway still open: dusty rose vs plum / moss / oxblood vs black. If you sell caps, the price covers this line.</t>
  </si>
  <si>
    <t xml:space="preserve">Who buys what, where, when</t>
  </si>
  <si>
    <t xml:space="preserve">Liquor stores close 9 PM and all day Sunday.</t>
  </si>
  <si>
    <t xml:space="preserve">When</t>
  </si>
  <si>
    <t xml:space="preserve">What</t>
  </si>
  <si>
    <t xml:space="preserve">This week</t>
  </si>
  <si>
    <t xml:space="preserve">eBay</t>
  </si>
  <si>
    <t xml:space="preserve">Candelabra (Best Offer $30), LED tapers $14.99, leopard throw $22.09</t>
  </si>
  <si>
    <t xml:space="preserve">Hats</t>
  </si>
  <si>
    <t xml:space="preserve">Quotes from Austin Print Co + Neatko today; Printful order of 25 as backup by ~12 Oct</t>
  </si>
  <si>
    <t xml:space="preserve">By 14 Oct</t>
  </si>
  <si>
    <t xml:space="preserve">Online (Walmart / Target)</t>
  </si>
  <si>
    <t xml:space="preserve">Creepy cloth, dispensers ×2, ashtray; Home Depot red bulbs</t>
  </si>
  <si>
    <t xml:space="preserve">By 23 Oct</t>
  </si>
  <si>
    <t xml:space="preserve">UT Foundry / Inventionworks</t>
  </si>
  <si>
    <t xml:space="preserve">Print triptych posters, cut acrylic sign, vinyl dispenser labels, smoking sign</t>
  </si>
  <si>
    <t xml:space="preserve">Week of 26 Oct</t>
  </si>
  <si>
    <t xml:space="preserve">Misc Rentals, 1901 E 51st</t>
  </si>
  <si>
    <t xml:space="preserve">Reserve + pick up 20" mirror ball kit ($45)</t>
  </si>
  <si>
    <t xml:space="preserve">Thu 29 Oct</t>
  </si>
  <si>
    <t xml:space="preserve">Twin Liquors / WB Liquors (Costco Kelly Ln)</t>
  </si>
  <si>
    <t xml:space="preserve">Svedka 1.75, Lunazul 1.75, DeKuyper triple sec, soju</t>
  </si>
  <si>
    <t xml:space="preserve">Hawaiian Punch, pineapple, Sprite ×2, limeade ×2, cranberry, BeatBox, BuzzBallz ×12, White Claw 24, water, napkins, lighters</t>
  </si>
  <si>
    <t xml:space="preserve">Walmart + Sam's Club</t>
  </si>
  <si>
    <t xml:space="preserve">Miller Lite 30, cups 2 × 132</t>
  </si>
  <si>
    <t xml:space="preserve">Fri 30 Oct, afternoon</t>
  </si>
  <si>
    <t xml:space="preserve">Texas Cold Front ice house, Pflugerville (24/7)</t>
  </si>
  <si>
    <t xml:space="preserve">~160 lb ice (Walmart backup). Cigarettes on the way.</t>
  </si>
  <si>
    <t xml:space="preserve">Fri 30 Oct, 6 PM</t>
  </si>
  <si>
    <t xml:space="preserve">Rio</t>
  </si>
  <si>
    <t xml:space="preserve">Mix both JJs in clean buckets/coolers, chill; label dispensers</t>
  </si>
  <si>
    <t xml:space="preserve">Sources</t>
  </si>
  <si>
    <t xml:space="preserve">Prices are listings seen on these pages 1–5 Oct 2026; re-check at checkout.</t>
  </si>
  <si>
    <t xml:space="preserve">Ice: tticlub.com/TexasColdFront · articrefresh.com/ice-vending-machine · twinliquors.com (20 lb ice) · reddyice.com/locations/austin-301</t>
  </si>
  <si>
    <t xml:space="preserve">Cups: samsclub.com prod13710456 · walmart.com/ip/28212763 · webstaurantstore.com 500CC16 · heb.com 2812012 · target.com A-90367920</t>
  </si>
  <si>
    <t xml:space="preserve">eBay: itm 158261116085, 124847880165, 256904542238, 297101089464, 306980432913, 166387828199, 188940592615, 198665930673</t>
  </si>
  <si>
    <t xml:space="preserve">Hats: blankstyle.com (DT600, 6245CM) · help.printful.com (digitization fees, fulfillment time) · stylefactoryproductions.com/blog/printful-pricing · boltprinting.com · neatko.com · austinprintco.com/custom-hats-austin · logostore.org</t>
  </si>
  <si>
    <t xml:space="preserve">Maker: lib.utexas.edu/visit-us/library-spaces/foundry · guides.lib.utexas.edu/Foundry/SewingAndTextiles · inventionworks.engr.utexas.edu · asmbly.org/space</t>
  </si>
  <si>
    <t xml:space="preserve">Smoking: comptroller.texas.gov/taxes/tobacco/faq-reg.php · worldpopulationreview.com/state-rankings/cigarette-prices-by-state · walmart.com/ip/24705330</t>
  </si>
  <si>
    <t xml:space="preserve">Drinks: twinliquors.com (Svedka, Lunazul, DeKuyper, soju) · heb.com (BeatBox 5508020, BuzzBallz 2787503, White Claw 3758568, cranberry 5785031) · walmart.com/ip/10984520 (Miller Lite)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</si>
</sst>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\$#,##0.00;&quot;($&quot;#,##0.00\);\-"/>
    <numFmt numFmtId="167" formatCode="0.0%"/>
    <numFmt numFmtId="168" formatCode="0.0"/>
    <numFmt numFmtId="169" formatCode="0.0%;;\-"/>
    <numFmt numFmtId="170" formatCode="0.00"/>
    <numFmt numFmtId="171" formatCode="\$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6B72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1F24"/>
        <bgColor rgb="FF333300"/>
      </patternFill>
    </fill>
    <fill>
      <patternFill patternType="solid">
        <fgColor rgb="FFEEF1F6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4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1F6"/>
      <rgbColor rgb="FFCCFFFF"/>
      <rgbColor rgb="FF660066"/>
      <rgbColor rgb="FFFF8080"/>
      <rgbColor rgb="FF0066CC"/>
      <rgbColor rgb="FFD0D4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5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6</v>
      </c>
    </row>
    <row r="5" customFormat="false" ht="15" hidden="false" customHeight="false" outlineLevel="0" collapsed="false">
      <c r="A5" s="3" t="s">
        <v>3</v>
      </c>
      <c r="B5" s="5" t="n">
        <v>176</v>
      </c>
    </row>
    <row r="6" customFormat="false" ht="15" hidden="false" customHeight="false" outlineLevel="0" collapsed="false">
      <c r="A6" s="3" t="s">
        <v>4</v>
      </c>
      <c r="B6" s="6" t="n">
        <f aca="false">B4*B5</f>
        <v>1056</v>
      </c>
    </row>
    <row r="8" customFormat="false" ht="30" hidden="false" customHeight="true" outlineLevel="0" collapsed="false">
      <c r="A8" s="7" t="s">
        <v>5</v>
      </c>
      <c r="B8" s="7" t="s">
        <v>6</v>
      </c>
      <c r="C8" s="7" t="s">
        <v>7</v>
      </c>
    </row>
    <row r="9" customFormat="false" ht="15" hidden="false" customHeight="false" outlineLevel="0" collapsed="false">
      <c r="A9" s="8" t="s">
        <v>8</v>
      </c>
      <c r="B9" s="5" t="n">
        <v>300</v>
      </c>
      <c r="C9" s="8" t="s">
        <v>9</v>
      </c>
    </row>
    <row r="10" customFormat="false" ht="15" hidden="false" customHeight="false" outlineLevel="0" collapsed="false">
      <c r="A10" s="8" t="s">
        <v>10</v>
      </c>
      <c r="B10" s="5" t="n">
        <v>275</v>
      </c>
      <c r="C10" s="8" t="s">
        <v>11</v>
      </c>
    </row>
    <row r="11" customFormat="false" ht="15" hidden="false" customHeight="false" outlineLevel="0" collapsed="false">
      <c r="A11" s="8" t="s">
        <v>12</v>
      </c>
      <c r="B11" s="5" t="n">
        <v>0</v>
      </c>
      <c r="C11" s="8" t="s">
        <v>13</v>
      </c>
    </row>
    <row r="12" customFormat="false" ht="15" hidden="false" customHeight="false" outlineLevel="0" collapsed="false">
      <c r="A12" s="8" t="s">
        <v>14</v>
      </c>
      <c r="B12" s="9" t="n">
        <f aca="false">Drinks!F19</f>
        <v>211.5896</v>
      </c>
      <c r="C12" s="8" t="s">
        <v>15</v>
      </c>
    </row>
    <row r="13" customFormat="false" ht="15" hidden="false" customHeight="false" outlineLevel="0" collapsed="false">
      <c r="A13" s="8" t="s">
        <v>16</v>
      </c>
      <c r="B13" s="9" t="n">
        <f aca="false">SUMIF('Ice &amp; Cups'!H7:H11,"Y",'Ice &amp; Cups'!G7:G11)</f>
        <v>24</v>
      </c>
      <c r="C13" s="8" t="s">
        <v>17</v>
      </c>
    </row>
    <row r="14" customFormat="false" ht="15" hidden="false" customHeight="false" outlineLevel="0" collapsed="false">
      <c r="A14" s="8" t="s">
        <v>18</v>
      </c>
      <c r="B14" s="9" t="n">
        <f aca="false">SUMIF('Ice &amp; Cups'!H17:H21,"Y",'Ice &amp; Cups'!G17:G21)</f>
        <v>22.56</v>
      </c>
      <c r="C14" s="8" t="s">
        <v>17</v>
      </c>
    </row>
    <row r="15" customFormat="false" ht="15" hidden="false" customHeight="false" outlineLevel="0" collapsed="false">
      <c r="A15" s="8" t="s">
        <v>19</v>
      </c>
      <c r="B15" s="9" t="n">
        <f aca="false">SUMIF('Ice &amp; Cups'!H25:H28,"Y",'Ice &amp; Cups'!G25:G28)</f>
        <v>69.52</v>
      </c>
      <c r="C15" s="8"/>
    </row>
    <row r="16" customFormat="false" ht="15" hidden="false" customHeight="false" outlineLevel="0" collapsed="false">
      <c r="A16" s="8" t="s">
        <v>20</v>
      </c>
      <c r="B16" s="9" t="n">
        <f aca="false">Decor!G14</f>
        <v>181.65</v>
      </c>
      <c r="C16" s="8" t="s">
        <v>21</v>
      </c>
    </row>
    <row r="17" customFormat="false" ht="15" hidden="false" customHeight="false" outlineLevel="0" collapsed="false">
      <c r="A17" s="8" t="s">
        <v>22</v>
      </c>
      <c r="B17" s="9" t="n">
        <f aca="false">'DIY (Maker)'!D10</f>
        <v>58</v>
      </c>
      <c r="C17" s="8" t="s">
        <v>23</v>
      </c>
    </row>
    <row r="18" customFormat="false" ht="15" hidden="false" customHeight="false" outlineLevel="0" collapsed="false">
      <c r="A18" s="8" t="s">
        <v>24</v>
      </c>
      <c r="B18" s="9" t="n">
        <f aca="false">Smoking!E9</f>
        <v>36.26</v>
      </c>
      <c r="C18" s="8"/>
    </row>
    <row r="19" customFormat="false" ht="15" hidden="false" customHeight="false" outlineLevel="0" collapsed="false">
      <c r="A19" s="8" t="s">
        <v>25</v>
      </c>
      <c r="B19" s="5" t="n">
        <v>0</v>
      </c>
      <c r="C19" s="8" t="s">
        <v>26</v>
      </c>
    </row>
    <row r="20" customFormat="false" ht="15" hidden="false" customHeight="false" outlineLevel="0" collapsed="false">
      <c r="A20" s="8" t="s">
        <v>27</v>
      </c>
      <c r="B20" s="5" t="n">
        <v>0</v>
      </c>
      <c r="C20" s="8" t="s">
        <v>28</v>
      </c>
    </row>
    <row r="21" customFormat="false" ht="15" hidden="false" customHeight="false" outlineLevel="0" collapsed="false">
      <c r="A21" s="10" t="s">
        <v>29</v>
      </c>
      <c r="B21" s="11" t="n">
        <f aca="false">SUM(B9:B20)</f>
        <v>1178.5796</v>
      </c>
      <c r="C21" s="12"/>
    </row>
    <row r="22" customFormat="false" ht="15" hidden="false" customHeight="false" outlineLevel="0" collapsed="false">
      <c r="A22" s="3" t="s">
        <v>30</v>
      </c>
      <c r="B22" s="6" t="n">
        <f aca="false">B6-B21</f>
        <v>-122.5796</v>
      </c>
    </row>
    <row r="24" customFormat="false" ht="15" hidden="false" customHeight="false" outlineLevel="0" collapsed="false">
      <c r="A24" s="8" t="s">
        <v>31</v>
      </c>
      <c r="B24" s="9" t="n">
        <f aca="false">Hats!B15</f>
        <v>429.36</v>
      </c>
      <c r="C24" s="8" t="s">
        <v>32</v>
      </c>
    </row>
    <row r="25" customFormat="false" ht="15" hidden="false" customHeight="false" outlineLevel="0" collapsed="false">
      <c r="A25" s="3" t="s">
        <v>33</v>
      </c>
      <c r="B25" s="6" t="n">
        <f aca="false">B22-B24</f>
        <v>-551.9396</v>
      </c>
    </row>
    <row r="27" customFormat="false" ht="15" hidden="false" customHeight="false" outlineLevel="0" collapsed="false">
      <c r="A27" s="8" t="s">
        <v>34</v>
      </c>
      <c r="B27" s="13" t="n">
        <f aca="false">Drinks!B33</f>
        <v>1.02904444444444</v>
      </c>
      <c r="C27" s="8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46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30" hidden="false" customHeight="true" outlineLevel="0" collapsed="false">
      <c r="A4" s="7" t="s">
        <v>38</v>
      </c>
      <c r="B4" s="7" t="s">
        <v>39</v>
      </c>
      <c r="C4" s="7" t="s">
        <v>40</v>
      </c>
      <c r="D4" s="7" t="s">
        <v>41</v>
      </c>
      <c r="E4" s="7" t="s">
        <v>42</v>
      </c>
      <c r="F4" s="7" t="s">
        <v>43</v>
      </c>
      <c r="G4" s="7" t="s">
        <v>44</v>
      </c>
      <c r="H4" s="7" t="s">
        <v>45</v>
      </c>
      <c r="I4" s="7" t="s">
        <v>46</v>
      </c>
      <c r="J4" s="7" t="s">
        <v>47</v>
      </c>
      <c r="K4" s="7" t="s">
        <v>48</v>
      </c>
    </row>
    <row r="5" customFormat="false" ht="15" hidden="false" customHeight="false" outlineLevel="0" collapsed="false">
      <c r="A5" s="8" t="s">
        <v>49</v>
      </c>
      <c r="B5" s="8" t="s">
        <v>50</v>
      </c>
      <c r="C5" s="8" t="s">
        <v>51</v>
      </c>
      <c r="D5" s="4" t="n">
        <v>1</v>
      </c>
      <c r="E5" s="5" t="n">
        <v>18.99</v>
      </c>
      <c r="F5" s="14" t="n">
        <f aca="false">D5*E5</f>
        <v>18.99</v>
      </c>
      <c r="G5" s="15" t="n">
        <v>59.2</v>
      </c>
      <c r="H5" s="16" t="n">
        <v>0.4</v>
      </c>
      <c r="I5" s="17" t="n">
        <f aca="false">D5*G5*H5/0.6</f>
        <v>39.4666666666667</v>
      </c>
      <c r="J5" s="18" t="s">
        <v>52</v>
      </c>
      <c r="K5" s="8" t="s">
        <v>53</v>
      </c>
    </row>
    <row r="6" customFormat="false" ht="15" hidden="false" customHeight="false" outlineLevel="0" collapsed="false">
      <c r="A6" s="8" t="s">
        <v>54</v>
      </c>
      <c r="B6" s="8" t="s">
        <v>50</v>
      </c>
      <c r="C6" s="8" t="s">
        <v>55</v>
      </c>
      <c r="D6" s="4" t="n">
        <v>1</v>
      </c>
      <c r="E6" s="5" t="n">
        <v>3.22</v>
      </c>
      <c r="F6" s="14" t="n">
        <f aca="false">D6*E6</f>
        <v>3.22</v>
      </c>
      <c r="G6" s="15" t="n">
        <v>128</v>
      </c>
      <c r="H6" s="16" t="n">
        <v>0</v>
      </c>
      <c r="I6" s="17" t="n">
        <f aca="false">D6*G6*H6/0.6</f>
        <v>0</v>
      </c>
      <c r="J6" s="18" t="s">
        <v>52</v>
      </c>
      <c r="K6" s="8" t="s">
        <v>55</v>
      </c>
    </row>
    <row r="7" customFormat="false" ht="15" hidden="false" customHeight="false" outlineLevel="0" collapsed="false">
      <c r="A7" s="8" t="s">
        <v>56</v>
      </c>
      <c r="B7" s="8" t="s">
        <v>50</v>
      </c>
      <c r="C7" s="8" t="s">
        <v>55</v>
      </c>
      <c r="D7" s="4" t="n">
        <v>1</v>
      </c>
      <c r="E7" s="5" t="n">
        <v>4.27</v>
      </c>
      <c r="F7" s="14" t="n">
        <f aca="false">D7*E7</f>
        <v>4.27</v>
      </c>
      <c r="G7" s="15" t="n">
        <v>64</v>
      </c>
      <c r="H7" s="16" t="n">
        <v>0</v>
      </c>
      <c r="I7" s="17" t="n">
        <f aca="false">D7*G7*H7/0.6</f>
        <v>0</v>
      </c>
      <c r="J7" s="18" t="s">
        <v>52</v>
      </c>
      <c r="K7" s="8" t="s">
        <v>55</v>
      </c>
    </row>
    <row r="8" customFormat="false" ht="15" hidden="false" customHeight="false" outlineLevel="0" collapsed="false">
      <c r="A8" s="8" t="s">
        <v>57</v>
      </c>
      <c r="B8" s="8" t="s">
        <v>50</v>
      </c>
      <c r="C8" s="8" t="s">
        <v>55</v>
      </c>
      <c r="D8" s="4" t="n">
        <v>1</v>
      </c>
      <c r="E8" s="5" t="n">
        <v>2.97</v>
      </c>
      <c r="F8" s="14" t="n">
        <f aca="false">D8*E8</f>
        <v>2.97</v>
      </c>
      <c r="G8" s="15" t="n">
        <v>67.6</v>
      </c>
      <c r="H8" s="16" t="n">
        <v>0</v>
      </c>
      <c r="I8" s="17" t="n">
        <f aca="false">D8*G8*H8/0.6</f>
        <v>0</v>
      </c>
      <c r="J8" s="18" t="s">
        <v>52</v>
      </c>
      <c r="K8" s="8" t="s">
        <v>55</v>
      </c>
    </row>
    <row r="9" customFormat="false" ht="15" hidden="false" customHeight="false" outlineLevel="0" collapsed="false">
      <c r="A9" s="8" t="s">
        <v>58</v>
      </c>
      <c r="B9" s="8" t="s">
        <v>59</v>
      </c>
      <c r="C9" s="8" t="s">
        <v>51</v>
      </c>
      <c r="D9" s="4" t="n">
        <v>1</v>
      </c>
      <c r="E9" s="5" t="n">
        <v>36.99</v>
      </c>
      <c r="F9" s="14" t="n">
        <f aca="false">D9*E9</f>
        <v>36.99</v>
      </c>
      <c r="G9" s="15" t="n">
        <v>59.2</v>
      </c>
      <c r="H9" s="16" t="n">
        <v>0.4</v>
      </c>
      <c r="I9" s="17" t="n">
        <f aca="false">D9*G9*H9/0.6</f>
        <v>39.4666666666667</v>
      </c>
      <c r="J9" s="18" t="s">
        <v>52</v>
      </c>
      <c r="K9" s="8" t="s">
        <v>60</v>
      </c>
    </row>
    <row r="10" customFormat="false" ht="15" hidden="false" customHeight="false" outlineLevel="0" collapsed="false">
      <c r="A10" s="8" t="s">
        <v>61</v>
      </c>
      <c r="B10" s="8" t="s">
        <v>59</v>
      </c>
      <c r="C10" s="8" t="s">
        <v>51</v>
      </c>
      <c r="D10" s="4" t="n">
        <v>1</v>
      </c>
      <c r="E10" s="5" t="n">
        <v>7.99</v>
      </c>
      <c r="F10" s="14" t="n">
        <f aca="false">D10*E10</f>
        <v>7.99</v>
      </c>
      <c r="G10" s="15" t="n">
        <v>16</v>
      </c>
      <c r="H10" s="16" t="n">
        <v>0.15</v>
      </c>
      <c r="I10" s="17" t="n">
        <f aca="false">D10*G10*H10/0.6</f>
        <v>4</v>
      </c>
      <c r="J10" s="18" t="s">
        <v>52</v>
      </c>
      <c r="K10" s="8" t="s">
        <v>62</v>
      </c>
    </row>
    <row r="11" customFormat="false" ht="15" hidden="false" customHeight="false" outlineLevel="0" collapsed="false">
      <c r="A11" s="8" t="s">
        <v>63</v>
      </c>
      <c r="B11" s="8" t="s">
        <v>59</v>
      </c>
      <c r="C11" s="8" t="s">
        <v>55</v>
      </c>
      <c r="D11" s="4" t="n">
        <v>2</v>
      </c>
      <c r="E11" s="5" t="n">
        <v>2.48</v>
      </c>
      <c r="F11" s="14" t="n">
        <f aca="false">D11*E11</f>
        <v>4.96</v>
      </c>
      <c r="G11" s="15" t="n">
        <v>52</v>
      </c>
      <c r="H11" s="16" t="n">
        <v>0</v>
      </c>
      <c r="I11" s="17" t="n">
        <f aca="false">D11*G11*H11/0.6</f>
        <v>0</v>
      </c>
      <c r="J11" s="18" t="s">
        <v>52</v>
      </c>
      <c r="K11" s="8" t="s">
        <v>55</v>
      </c>
    </row>
    <row r="12" customFormat="false" ht="15" hidden="false" customHeight="false" outlineLevel="0" collapsed="false">
      <c r="A12" s="8" t="s">
        <v>64</v>
      </c>
      <c r="B12" s="8" t="s">
        <v>59</v>
      </c>
      <c r="C12" s="8" t="s">
        <v>55</v>
      </c>
      <c r="D12" s="4" t="n">
        <v>1</v>
      </c>
      <c r="E12" s="5" t="n">
        <v>4.28</v>
      </c>
      <c r="F12" s="14" t="n">
        <f aca="false">D12*E12</f>
        <v>4.28</v>
      </c>
      <c r="G12" s="15" t="n">
        <v>96</v>
      </c>
      <c r="H12" s="16" t="n">
        <v>0</v>
      </c>
      <c r="I12" s="17" t="n">
        <f aca="false">D12*G12*H12/0.6</f>
        <v>0</v>
      </c>
      <c r="J12" s="18" t="s">
        <v>52</v>
      </c>
      <c r="K12" s="8" t="s">
        <v>65</v>
      </c>
    </row>
    <row r="13" customFormat="false" ht="15" hidden="false" customHeight="false" outlineLevel="0" collapsed="false">
      <c r="A13" s="8" t="s">
        <v>57</v>
      </c>
      <c r="B13" s="8" t="s">
        <v>59</v>
      </c>
      <c r="C13" s="8" t="s">
        <v>55</v>
      </c>
      <c r="D13" s="4" t="n">
        <v>1</v>
      </c>
      <c r="E13" s="5" t="n">
        <v>2.97</v>
      </c>
      <c r="F13" s="14" t="n">
        <f aca="false">D13*E13</f>
        <v>2.97</v>
      </c>
      <c r="G13" s="15" t="n">
        <v>67.6</v>
      </c>
      <c r="H13" s="16" t="n">
        <v>0</v>
      </c>
      <c r="I13" s="17" t="n">
        <f aca="false">D13*G13*H13/0.6</f>
        <v>0</v>
      </c>
      <c r="J13" s="18" t="s">
        <v>52</v>
      </c>
      <c r="K13" s="8" t="s">
        <v>55</v>
      </c>
    </row>
    <row r="14" customFormat="false" ht="15" hidden="false" customHeight="false" outlineLevel="0" collapsed="false">
      <c r="A14" s="8" t="s">
        <v>66</v>
      </c>
      <c r="B14" s="8" t="s">
        <v>67</v>
      </c>
      <c r="C14" s="8" t="s">
        <v>55</v>
      </c>
      <c r="D14" s="4" t="n">
        <v>6</v>
      </c>
      <c r="E14" s="5" t="n">
        <v>3.4967</v>
      </c>
      <c r="F14" s="14" t="n">
        <f aca="false">D14*E14</f>
        <v>20.9802</v>
      </c>
      <c r="G14" s="15" t="n">
        <v>16.9</v>
      </c>
      <c r="H14" s="16" t="n">
        <v>0.111</v>
      </c>
      <c r="I14" s="17" t="n">
        <f aca="false">D14*G14*H14/0.6</f>
        <v>18.759</v>
      </c>
      <c r="J14" s="18" t="s">
        <v>52</v>
      </c>
      <c r="K14" s="8" t="s">
        <v>68</v>
      </c>
    </row>
    <row r="15" customFormat="false" ht="15" hidden="false" customHeight="false" outlineLevel="0" collapsed="false">
      <c r="A15" s="8" t="s">
        <v>69</v>
      </c>
      <c r="B15" s="8" t="s">
        <v>67</v>
      </c>
      <c r="C15" s="8" t="s">
        <v>55</v>
      </c>
      <c r="D15" s="4" t="n">
        <v>12</v>
      </c>
      <c r="E15" s="5" t="n">
        <v>3.12</v>
      </c>
      <c r="F15" s="14" t="n">
        <f aca="false">D15*E15</f>
        <v>37.44</v>
      </c>
      <c r="G15" s="15" t="n">
        <v>6.3</v>
      </c>
      <c r="H15" s="16" t="n">
        <v>0.15</v>
      </c>
      <c r="I15" s="17" t="n">
        <f aca="false">D15*G15*H15/0.6</f>
        <v>18.9</v>
      </c>
      <c r="J15" s="18" t="s">
        <v>52</v>
      </c>
      <c r="K15" s="8" t="s">
        <v>70</v>
      </c>
    </row>
    <row r="16" customFormat="false" ht="15" hidden="false" customHeight="false" outlineLevel="0" collapsed="false">
      <c r="A16" s="8" t="s">
        <v>71</v>
      </c>
      <c r="B16" s="8" t="s">
        <v>67</v>
      </c>
      <c r="C16" s="8" t="s">
        <v>55</v>
      </c>
      <c r="D16" s="4" t="n">
        <v>24</v>
      </c>
      <c r="E16" s="5" t="n">
        <v>1.2446</v>
      </c>
      <c r="F16" s="14" t="n">
        <f aca="false">D16*E16</f>
        <v>29.8704</v>
      </c>
      <c r="G16" s="15" t="n">
        <v>12</v>
      </c>
      <c r="H16" s="16" t="n">
        <v>0.05</v>
      </c>
      <c r="I16" s="17" t="n">
        <f aca="false">D16*G16*H16/0.6</f>
        <v>24</v>
      </c>
      <c r="J16" s="18" t="s">
        <v>52</v>
      </c>
      <c r="K16" s="8" t="s">
        <v>72</v>
      </c>
    </row>
    <row r="17" customFormat="false" ht="15" hidden="false" customHeight="false" outlineLevel="0" collapsed="false">
      <c r="A17" s="8" t="s">
        <v>73</v>
      </c>
      <c r="B17" s="8" t="s">
        <v>67</v>
      </c>
      <c r="C17" s="8" t="s">
        <v>74</v>
      </c>
      <c r="D17" s="4" t="n">
        <v>30</v>
      </c>
      <c r="E17" s="5" t="n">
        <v>0.8223</v>
      </c>
      <c r="F17" s="14" t="n">
        <f aca="false">D17*E17</f>
        <v>24.669</v>
      </c>
      <c r="G17" s="15" t="n">
        <v>12</v>
      </c>
      <c r="H17" s="16" t="n">
        <v>0.042</v>
      </c>
      <c r="I17" s="17" t="n">
        <f aca="false">D17*G17*H17/0.6</f>
        <v>25.2</v>
      </c>
      <c r="J17" s="18" t="s">
        <v>52</v>
      </c>
      <c r="K17" s="8" t="s">
        <v>75</v>
      </c>
    </row>
    <row r="18" customFormat="false" ht="15" hidden="false" customHeight="false" outlineLevel="0" collapsed="false">
      <c r="A18" s="8" t="s">
        <v>76</v>
      </c>
      <c r="B18" s="8" t="s">
        <v>77</v>
      </c>
      <c r="C18" s="8" t="s">
        <v>51</v>
      </c>
      <c r="D18" s="4" t="n">
        <v>1</v>
      </c>
      <c r="E18" s="5" t="n">
        <v>11.99</v>
      </c>
      <c r="F18" s="14" t="n">
        <f aca="false">D18*E18</f>
        <v>11.99</v>
      </c>
      <c r="G18" s="15" t="n">
        <v>25.4</v>
      </c>
      <c r="H18" s="16" t="n">
        <v>0.165</v>
      </c>
      <c r="I18" s="17" t="n">
        <f aca="false">D18*G18*H18/0.6</f>
        <v>6.985</v>
      </c>
      <c r="J18" s="18" t="s">
        <v>78</v>
      </c>
      <c r="K18" s="8" t="s">
        <v>79</v>
      </c>
    </row>
    <row r="19" customFormat="false" ht="15" hidden="false" customHeight="false" outlineLevel="0" collapsed="false">
      <c r="A19" s="10" t="s">
        <v>80</v>
      </c>
      <c r="B19" s="12"/>
      <c r="C19" s="12"/>
      <c r="D19" s="12"/>
      <c r="E19" s="12"/>
      <c r="F19" s="11" t="n">
        <f aca="false">SUM(F5:F18)</f>
        <v>211.5896</v>
      </c>
      <c r="G19" s="12"/>
      <c r="H19" s="12"/>
      <c r="I19" s="19" t="n">
        <f aca="false">SUMIF(J5:J18,"Y",I5:I18)</f>
        <v>169.792333333333</v>
      </c>
      <c r="J19" s="12"/>
      <c r="K19" s="12"/>
    </row>
    <row r="21" customFormat="false" ht="15" hidden="false" customHeight="false" outlineLevel="0" collapsed="false">
      <c r="A21" s="3" t="s">
        <v>81</v>
      </c>
    </row>
    <row r="22" customFormat="false" ht="15" hidden="false" customHeight="false" outlineLevel="0" collapsed="false">
      <c r="A22" s="8" t="s">
        <v>82</v>
      </c>
      <c r="B22" s="20" t="n">
        <f aca="false">SUMPRODUCT((B5:B18="Vodka JJ")*D5:D18*G5:G18)/128</f>
        <v>2.490625</v>
      </c>
    </row>
    <row r="23" customFormat="false" ht="15" hidden="false" customHeight="false" outlineLevel="0" collapsed="false">
      <c r="A23" s="8" t="s">
        <v>83</v>
      </c>
      <c r="B23" s="21" t="n">
        <f aca="false">SUMPRODUCT((B5:B18="Vodka JJ")*D5:D18*G5:G18*H5:H18)/(B22*128)</f>
        <v>0.0742785445420326</v>
      </c>
    </row>
    <row r="24" customFormat="false" ht="15" hidden="false" customHeight="false" outlineLevel="0" collapsed="false">
      <c r="A24" s="8" t="s">
        <v>84</v>
      </c>
      <c r="B24" s="20" t="n">
        <f aca="false">SUMPRODUCT((B5:B18="Tequila JJ")*D5:D18*G5:G18)/128</f>
        <v>2.678125</v>
      </c>
    </row>
    <row r="25" customFormat="false" ht="15" hidden="false" customHeight="false" outlineLevel="0" collapsed="false">
      <c r="A25" s="8" t="s">
        <v>85</v>
      </c>
      <c r="B25" s="21" t="n">
        <f aca="false">SUMPRODUCT((B5:B18="Tequila JJ")*D5:D18*G5:G18*H5:H18)/(B24*128)</f>
        <v>0.0760793465577596</v>
      </c>
    </row>
    <row r="26" customFormat="false" ht="15" hidden="false" customHeight="false" outlineLevel="0" collapsed="false">
      <c r="A26" s="8" t="s">
        <v>86</v>
      </c>
      <c r="B26" s="17" t="n">
        <f aca="false">0.6/AVERAGE(B23,B25)</f>
        <v>7.98095790797945</v>
      </c>
      <c r="C26" s="2" t="s">
        <v>87</v>
      </c>
    </row>
    <row r="28" customFormat="false" ht="15" hidden="false" customHeight="false" outlineLevel="0" collapsed="false">
      <c r="A28" s="3" t="s">
        <v>88</v>
      </c>
    </row>
    <row r="29" customFormat="false" ht="15" hidden="false" customHeight="false" outlineLevel="0" collapsed="false">
      <c r="A29" s="8" t="s">
        <v>89</v>
      </c>
      <c r="B29" s="22" t="n">
        <v>55</v>
      </c>
      <c r="C29" s="2" t="s">
        <v>90</v>
      </c>
    </row>
    <row r="30" customFormat="false" ht="15" hidden="false" customHeight="false" outlineLevel="0" collapsed="false">
      <c r="A30" s="8" t="s">
        <v>91</v>
      </c>
      <c r="B30" s="22" t="n">
        <v>3</v>
      </c>
    </row>
    <row r="31" customFormat="false" ht="15" hidden="false" customHeight="false" outlineLevel="0" collapsed="false">
      <c r="A31" s="8" t="s">
        <v>92</v>
      </c>
      <c r="B31" s="23" t="n">
        <f aca="false">B29*B30</f>
        <v>165</v>
      </c>
    </row>
    <row r="32" customFormat="false" ht="15" hidden="false" customHeight="false" outlineLevel="0" collapsed="false">
      <c r="A32" s="8" t="s">
        <v>93</v>
      </c>
      <c r="B32" s="17" t="n">
        <f aca="false">I19</f>
        <v>169.792333333333</v>
      </c>
    </row>
    <row r="33" customFormat="false" ht="15" hidden="false" customHeight="false" outlineLevel="0" collapsed="false">
      <c r="A33" s="3" t="s">
        <v>94</v>
      </c>
      <c r="B33" s="24" t="n">
        <f aca="false">I19/B31</f>
        <v>1.02904444444444</v>
      </c>
    </row>
    <row r="34" customFormat="false" ht="15" hidden="false" customHeight="false" outlineLevel="0" collapsed="false">
      <c r="A34" s="8" t="s">
        <v>95</v>
      </c>
      <c r="B34" s="14" t="n">
        <f aca="false">SUMIF(J5:J18,"Y",F5:F18)/I19</f>
        <v>1.17555131071878</v>
      </c>
    </row>
    <row r="36" customFormat="false" ht="15" hidden="false" customHeight="false" outlineLevel="0" collapsed="false">
      <c r="A36" s="2" t="s">
        <v>96</v>
      </c>
    </row>
    <row r="37" customFormat="false" ht="15" hidden="false" customHeight="false" outlineLevel="0" collapsed="false">
      <c r="A37" s="2" t="s">
        <v>97</v>
      </c>
    </row>
  </sheetData>
  <dataValidations count="1">
    <dataValidation allowBlank="false" errorStyle="stop" operator="between" showDropDown="false" showErrorMessage="false" showInputMessage="false" sqref="J5:J18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1"/>
    <col collapsed="false" customWidth="true" hidden="false" outlineLevel="0" max="7" min="6" style="0" width="12"/>
    <col collapsed="false" customWidth="true" hidden="false" outlineLevel="0" max="8" min="8" style="0" width="44"/>
  </cols>
  <sheetData>
    <row r="1" customFormat="false" ht="17.35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99</v>
      </c>
    </row>
    <row r="4" customFormat="false" ht="15" hidden="false" customHeight="false" outlineLevel="0" collapsed="false">
      <c r="A4" s="3" t="s">
        <v>100</v>
      </c>
      <c r="B4" s="22" t="n">
        <v>160</v>
      </c>
      <c r="C4" s="2" t="s">
        <v>101</v>
      </c>
    </row>
    <row r="6" customFormat="false" ht="30" hidden="false" customHeight="true" outlineLevel="0" collapsed="false">
      <c r="A6" s="7" t="s">
        <v>102</v>
      </c>
      <c r="B6" s="7" t="s">
        <v>103</v>
      </c>
      <c r="C6" s="7" t="s">
        <v>104</v>
      </c>
      <c r="D6" s="7" t="s">
        <v>105</v>
      </c>
      <c r="E6" s="7" t="s">
        <v>106</v>
      </c>
      <c r="F6" s="7" t="s">
        <v>107</v>
      </c>
      <c r="G6" s="7" t="s">
        <v>43</v>
      </c>
      <c r="H6" s="7" t="s">
        <v>108</v>
      </c>
    </row>
    <row r="7" customFormat="false" ht="15" hidden="false" customHeight="false" outlineLevel="0" collapsed="false">
      <c r="A7" s="8" t="s">
        <v>109</v>
      </c>
      <c r="B7" s="8" t="s">
        <v>110</v>
      </c>
      <c r="C7" s="4" t="n">
        <v>20</v>
      </c>
      <c r="D7" s="5" t="n">
        <v>3</v>
      </c>
      <c r="E7" s="25" t="n">
        <f aca="false">D7/C7</f>
        <v>0.15</v>
      </c>
      <c r="F7" s="23" t="n">
        <f aca="false">ROUNDUP($B$4/C7,0)</f>
        <v>8</v>
      </c>
      <c r="G7" s="14" t="n">
        <f aca="false">F7*D7</f>
        <v>24</v>
      </c>
      <c r="H7" s="18" t="s">
        <v>52</v>
      </c>
      <c r="I7" s="26" t="s">
        <v>111</v>
      </c>
    </row>
    <row r="8" customFormat="false" ht="15" hidden="false" customHeight="false" outlineLevel="0" collapsed="false">
      <c r="A8" s="8" t="s">
        <v>112</v>
      </c>
      <c r="B8" s="8" t="s">
        <v>113</v>
      </c>
      <c r="C8" s="4" t="n">
        <v>10</v>
      </c>
      <c r="D8" s="5" t="n">
        <v>1.88</v>
      </c>
      <c r="E8" s="25" t="n">
        <f aca="false">D8/C8</f>
        <v>0.188</v>
      </c>
      <c r="F8" s="23" t="n">
        <f aca="false">ROUNDUP($B$4/C8,0)</f>
        <v>16</v>
      </c>
      <c r="G8" s="14" t="n">
        <f aca="false">F8*D8</f>
        <v>30.08</v>
      </c>
      <c r="H8" s="18" t="s">
        <v>78</v>
      </c>
      <c r="I8" s="26" t="s">
        <v>114</v>
      </c>
    </row>
    <row r="9" customFormat="false" ht="15" hidden="false" customHeight="false" outlineLevel="0" collapsed="false">
      <c r="A9" s="8" t="s">
        <v>115</v>
      </c>
      <c r="B9" s="8" t="s">
        <v>116</v>
      </c>
      <c r="C9" s="4" t="n">
        <v>20</v>
      </c>
      <c r="D9" s="5" t="n">
        <v>4.49</v>
      </c>
      <c r="E9" s="25" t="n">
        <f aca="false">D9/C9</f>
        <v>0.2245</v>
      </c>
      <c r="F9" s="23" t="n">
        <f aca="false">ROUNDUP($B$4/C9,0)</f>
        <v>8</v>
      </c>
      <c r="G9" s="14" t="n">
        <f aca="false">F9*D9</f>
        <v>35.92</v>
      </c>
      <c r="H9" s="18" t="s">
        <v>78</v>
      </c>
      <c r="I9" s="26" t="s">
        <v>117</v>
      </c>
    </row>
    <row r="10" customFormat="false" ht="15" hidden="false" customHeight="false" outlineLevel="0" collapsed="false">
      <c r="A10" s="8" t="s">
        <v>118</v>
      </c>
      <c r="B10" s="8" t="s">
        <v>119</v>
      </c>
      <c r="C10" s="4" t="n">
        <v>10</v>
      </c>
      <c r="D10" s="5" t="n">
        <v>2.5</v>
      </c>
      <c r="E10" s="25" t="n">
        <f aca="false">D10/C10</f>
        <v>0.25</v>
      </c>
      <c r="F10" s="23" t="n">
        <f aca="false">ROUNDUP($B$4/C10,0)</f>
        <v>16</v>
      </c>
      <c r="G10" s="14" t="n">
        <f aca="false">F10*D10</f>
        <v>40</v>
      </c>
      <c r="H10" s="18" t="s">
        <v>78</v>
      </c>
      <c r="I10" s="26"/>
    </row>
    <row r="11" customFormat="false" ht="15" hidden="false" customHeight="false" outlineLevel="0" collapsed="false">
      <c r="A11" s="8" t="s">
        <v>120</v>
      </c>
      <c r="B11" s="8" t="s">
        <v>121</v>
      </c>
      <c r="C11" s="4" t="n">
        <v>10</v>
      </c>
      <c r="D11" s="5" t="n">
        <v>3</v>
      </c>
      <c r="E11" s="25" t="n">
        <f aca="false">D11/C11</f>
        <v>0.3</v>
      </c>
      <c r="F11" s="23" t="n">
        <f aca="false">ROUNDUP($B$4/C11,0)</f>
        <v>16</v>
      </c>
      <c r="G11" s="14" t="n">
        <f aca="false">F11*D11</f>
        <v>48</v>
      </c>
      <c r="H11" s="18" t="s">
        <v>78</v>
      </c>
      <c r="I11" s="26" t="s">
        <v>122</v>
      </c>
    </row>
    <row r="14" customFormat="false" ht="15" hidden="false" customHeight="false" outlineLevel="0" collapsed="false">
      <c r="A14" s="3" t="s">
        <v>123</v>
      </c>
      <c r="B14" s="22" t="n">
        <v>250</v>
      </c>
      <c r="C14" s="2" t="s">
        <v>124</v>
      </c>
    </row>
    <row r="16" customFormat="false" ht="30" hidden="false" customHeight="true" outlineLevel="0" collapsed="false">
      <c r="A16" s="7" t="s">
        <v>125</v>
      </c>
      <c r="B16" s="7" t="s">
        <v>40</v>
      </c>
      <c r="C16" s="7" t="s">
        <v>126</v>
      </c>
      <c r="D16" s="7" t="s">
        <v>127</v>
      </c>
      <c r="E16" s="7" t="s">
        <v>128</v>
      </c>
      <c r="F16" s="7" t="s">
        <v>129</v>
      </c>
      <c r="G16" s="7" t="s">
        <v>43</v>
      </c>
      <c r="H16" s="7" t="s">
        <v>108</v>
      </c>
    </row>
    <row r="17" customFormat="false" ht="15" hidden="false" customHeight="false" outlineLevel="0" collapsed="false">
      <c r="A17" s="8" t="s">
        <v>130</v>
      </c>
      <c r="B17" s="8" t="s">
        <v>131</v>
      </c>
      <c r="C17" s="4" t="n">
        <v>132</v>
      </c>
      <c r="D17" s="5" t="n">
        <v>11.28</v>
      </c>
      <c r="E17" s="25" t="n">
        <f aca="false">D17/C17</f>
        <v>0.0854545454545455</v>
      </c>
      <c r="F17" s="23" t="n">
        <f aca="false">ROUNDUP($B$14/C17,0)</f>
        <v>2</v>
      </c>
      <c r="G17" s="14" t="n">
        <f aca="false">F17*D17</f>
        <v>22.56</v>
      </c>
      <c r="H17" s="18" t="s">
        <v>52</v>
      </c>
      <c r="I17" s="26" t="s">
        <v>132</v>
      </c>
    </row>
    <row r="18" customFormat="false" ht="15" hidden="false" customHeight="false" outlineLevel="0" collapsed="false">
      <c r="A18" s="8" t="s">
        <v>133</v>
      </c>
      <c r="B18" s="8" t="s">
        <v>74</v>
      </c>
      <c r="C18" s="4" t="n">
        <v>100</v>
      </c>
      <c r="D18" s="5" t="n">
        <v>8.98</v>
      </c>
      <c r="E18" s="25" t="n">
        <f aca="false">D18/C18</f>
        <v>0.0898</v>
      </c>
      <c r="F18" s="23" t="n">
        <f aca="false">ROUNDUP($B$14/C18,0)</f>
        <v>3</v>
      </c>
      <c r="G18" s="14" t="n">
        <f aca="false">F18*D18</f>
        <v>26.94</v>
      </c>
      <c r="H18" s="18" t="s">
        <v>78</v>
      </c>
      <c r="I18" s="26" t="s">
        <v>134</v>
      </c>
    </row>
    <row r="19" customFormat="false" ht="15" hidden="false" customHeight="false" outlineLevel="0" collapsed="false">
      <c r="A19" s="8" t="s">
        <v>135</v>
      </c>
      <c r="B19" s="8" t="s">
        <v>136</v>
      </c>
      <c r="C19" s="4" t="n">
        <v>1000</v>
      </c>
      <c r="D19" s="5" t="n">
        <v>57.99</v>
      </c>
      <c r="E19" s="25" t="n">
        <f aca="false">D19/C19</f>
        <v>0.05799</v>
      </c>
      <c r="F19" s="23" t="n">
        <f aca="false">ROUNDUP($B$14/C19,0)</f>
        <v>1</v>
      </c>
      <c r="G19" s="14" t="n">
        <f aca="false">F19*D19</f>
        <v>57.99</v>
      </c>
      <c r="H19" s="18" t="s">
        <v>78</v>
      </c>
      <c r="I19" s="26" t="s">
        <v>137</v>
      </c>
    </row>
    <row r="20" customFormat="false" ht="15" hidden="false" customHeight="false" outlineLevel="0" collapsed="false">
      <c r="A20" s="8" t="s">
        <v>138</v>
      </c>
      <c r="B20" s="8" t="s">
        <v>55</v>
      </c>
      <c r="C20" s="4" t="n">
        <v>120</v>
      </c>
      <c r="D20" s="5" t="n">
        <v>11.48</v>
      </c>
      <c r="E20" s="25" t="n">
        <f aca="false">D20/C20</f>
        <v>0.0956666666666667</v>
      </c>
      <c r="F20" s="23" t="n">
        <f aca="false">ROUNDUP($B$14/C20,0)</f>
        <v>3</v>
      </c>
      <c r="G20" s="14" t="n">
        <f aca="false">F20*D20</f>
        <v>34.44</v>
      </c>
      <c r="H20" s="18" t="s">
        <v>78</v>
      </c>
      <c r="I20" s="26" t="s">
        <v>139</v>
      </c>
    </row>
    <row r="21" customFormat="false" ht="15" hidden="false" customHeight="false" outlineLevel="0" collapsed="false">
      <c r="A21" s="8" t="s">
        <v>140</v>
      </c>
      <c r="B21" s="8" t="s">
        <v>141</v>
      </c>
      <c r="C21" s="4" t="n">
        <v>50</v>
      </c>
      <c r="D21" s="5" t="n">
        <v>16.09</v>
      </c>
      <c r="E21" s="25" t="n">
        <f aca="false">D21/C21</f>
        <v>0.3218</v>
      </c>
      <c r="F21" s="23" t="n">
        <f aca="false">ROUNDUP($B$14/C21,0)</f>
        <v>5</v>
      </c>
      <c r="G21" s="14" t="n">
        <f aca="false">F21*D21</f>
        <v>80.45</v>
      </c>
      <c r="H21" s="18" t="s">
        <v>78</v>
      </c>
      <c r="I21" s="26" t="s">
        <v>142</v>
      </c>
    </row>
    <row r="24" customFormat="false" ht="30" hidden="false" customHeight="true" outlineLevel="0" collapsed="false">
      <c r="A24" s="7" t="s">
        <v>143</v>
      </c>
      <c r="B24" s="7" t="s">
        <v>40</v>
      </c>
      <c r="C24" s="7" t="s">
        <v>41</v>
      </c>
      <c r="D24" s="7" t="s">
        <v>144</v>
      </c>
      <c r="E24" s="7"/>
      <c r="F24" s="7"/>
      <c r="G24" s="7" t="s">
        <v>43</v>
      </c>
      <c r="H24" s="7" t="s">
        <v>108</v>
      </c>
    </row>
    <row r="25" customFormat="false" ht="15" hidden="false" customHeight="false" outlineLevel="0" collapsed="false">
      <c r="A25" s="8" t="s">
        <v>145</v>
      </c>
      <c r="B25" s="8" t="s">
        <v>55</v>
      </c>
      <c r="C25" s="4" t="n">
        <v>2</v>
      </c>
      <c r="D25" s="5" t="n">
        <v>3.27</v>
      </c>
      <c r="G25" s="14" t="n">
        <f aca="false">C25*D25</f>
        <v>6.54</v>
      </c>
      <c r="H25" s="18" t="s">
        <v>52</v>
      </c>
      <c r="I25" s="26" t="s">
        <v>146</v>
      </c>
    </row>
    <row r="26" customFormat="false" ht="15" hidden="false" customHeight="false" outlineLevel="0" collapsed="false">
      <c r="A26" s="8" t="s">
        <v>147</v>
      </c>
      <c r="B26" s="8" t="s">
        <v>55</v>
      </c>
      <c r="C26" s="4" t="n">
        <v>1</v>
      </c>
      <c r="D26" s="5" t="n">
        <v>3.48</v>
      </c>
      <c r="G26" s="14" t="n">
        <f aca="false">C26*D26</f>
        <v>3.48</v>
      </c>
      <c r="H26" s="18" t="s">
        <v>52</v>
      </c>
      <c r="I26" s="26" t="s">
        <v>148</v>
      </c>
    </row>
    <row r="27" customFormat="false" ht="15" hidden="false" customHeight="false" outlineLevel="0" collapsed="false">
      <c r="A27" s="8" t="s">
        <v>149</v>
      </c>
      <c r="B27" s="8" t="s">
        <v>150</v>
      </c>
      <c r="C27" s="4" t="n">
        <v>2</v>
      </c>
      <c r="D27" s="5" t="n">
        <v>29.75</v>
      </c>
      <c r="G27" s="14" t="n">
        <f aca="false">C27*D27</f>
        <v>59.5</v>
      </c>
      <c r="H27" s="18" t="s">
        <v>52</v>
      </c>
      <c r="I27" s="26" t="s">
        <v>151</v>
      </c>
    </row>
    <row r="28" customFormat="false" ht="15" hidden="false" customHeight="false" outlineLevel="0" collapsed="false">
      <c r="A28" s="8" t="s">
        <v>152</v>
      </c>
      <c r="B28" s="8" t="s">
        <v>136</v>
      </c>
      <c r="C28" s="4" t="n">
        <v>2</v>
      </c>
      <c r="D28" s="5" t="n">
        <v>42.99</v>
      </c>
      <c r="G28" s="14" t="n">
        <f aca="false">C28*D28</f>
        <v>85.98</v>
      </c>
      <c r="H28" s="18" t="s">
        <v>78</v>
      </c>
      <c r="I28" s="26" t="s">
        <v>153</v>
      </c>
    </row>
  </sheetData>
  <dataValidations count="3">
    <dataValidation allowBlank="false" errorStyle="stop" operator="between" showDropDown="false" showErrorMessage="false" showInputMessage="false" sqref="H7:H11" type="list">
      <formula1>"Y,N"</formula1>
      <formula2>0</formula2>
    </dataValidation>
    <dataValidation allowBlank="false" errorStyle="stop" operator="between" showDropDown="false" showErrorMessage="false" showInputMessage="false" sqref="H17:H21" type="list">
      <formula1>"Y,N"</formula1>
      <formula2>0</formula2>
    </dataValidation>
    <dataValidation allowBlank="false" errorStyle="stop" operator="between" showDropDown="false" showErrorMessage="false" showInputMessage="false" sqref="H25:H28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50"/>
  </cols>
  <sheetData>
    <row r="1" customFormat="false" ht="17.35" hidden="false" customHeight="false" outlineLevel="0" collapsed="false">
      <c r="A1" s="1" t="s">
        <v>154</v>
      </c>
    </row>
    <row r="2" customFormat="false" ht="15" hidden="false" customHeight="false" outlineLevel="0" collapsed="false">
      <c r="A2" s="2" t="s">
        <v>155</v>
      </c>
    </row>
    <row r="4" customFormat="false" ht="30" hidden="false" customHeight="true" outlineLevel="0" collapsed="false">
      <c r="A4" s="7" t="s">
        <v>38</v>
      </c>
      <c r="B4" s="7" t="s">
        <v>156</v>
      </c>
      <c r="C4" s="7" t="s">
        <v>157</v>
      </c>
      <c r="D4" s="7" t="s">
        <v>158</v>
      </c>
      <c r="E4" s="7" t="s">
        <v>159</v>
      </c>
      <c r="F4" s="7" t="s">
        <v>160</v>
      </c>
      <c r="G4" s="7" t="s">
        <v>161</v>
      </c>
      <c r="H4" s="7" t="s">
        <v>162</v>
      </c>
      <c r="I4" s="7" t="s">
        <v>163</v>
      </c>
    </row>
    <row r="5" customFormat="false" ht="15" hidden="false" customHeight="false" outlineLevel="0" collapsed="false">
      <c r="A5" s="8" t="s">
        <v>164</v>
      </c>
      <c r="B5" s="8" t="s">
        <v>165</v>
      </c>
      <c r="C5" s="8" t="s">
        <v>166</v>
      </c>
      <c r="D5" s="5" t="n">
        <v>45</v>
      </c>
      <c r="E5" s="8" t="s">
        <v>167</v>
      </c>
      <c r="F5" s="5" t="n">
        <v>149.99</v>
      </c>
      <c r="G5" s="14" t="n">
        <f aca="false">IF(AND(D5="",F5=""),0,MIN(IF(D5="",1000000000,D5),IF(F5="",1000000000,F5)))</f>
        <v>45</v>
      </c>
      <c r="H5" s="18" t="s">
        <v>52</v>
      </c>
      <c r="I5" s="8" t="s">
        <v>168</v>
      </c>
    </row>
    <row r="6" customFormat="false" ht="15" hidden="false" customHeight="false" outlineLevel="0" collapsed="false">
      <c r="A6" s="8" t="s">
        <v>169</v>
      </c>
      <c r="B6" s="8" t="s">
        <v>165</v>
      </c>
      <c r="C6" s="8" t="s">
        <v>170</v>
      </c>
      <c r="D6" s="5" t="n">
        <v>50.99</v>
      </c>
      <c r="E6" s="8" t="s">
        <v>171</v>
      </c>
      <c r="F6" s="5" t="n">
        <v>22.09</v>
      </c>
      <c r="G6" s="14" t="n">
        <f aca="false">IF(AND(D6="",F6=""),0,MIN(IF(D6="",1000000000,D6),IF(F6="",1000000000,F6)))</f>
        <v>22.09</v>
      </c>
      <c r="H6" s="18" t="s">
        <v>52</v>
      </c>
      <c r="I6" s="8" t="s">
        <v>172</v>
      </c>
    </row>
    <row r="7" customFormat="false" ht="15" hidden="false" customHeight="false" outlineLevel="0" collapsed="false">
      <c r="A7" s="8" t="s">
        <v>173</v>
      </c>
      <c r="B7" s="8" t="s">
        <v>174</v>
      </c>
      <c r="C7" s="8" t="s">
        <v>175</v>
      </c>
      <c r="D7" s="5"/>
      <c r="E7" s="8" t="s">
        <v>176</v>
      </c>
      <c r="F7" s="5" t="n">
        <v>38</v>
      </c>
      <c r="G7" s="14" t="n">
        <f aca="false">IF(AND(D7="",F7=""),0,MIN(IF(D7="",1000000000,D7),IF(F7="",1000000000,F7)))</f>
        <v>38</v>
      </c>
      <c r="H7" s="18" t="s">
        <v>52</v>
      </c>
      <c r="I7" s="8" t="s">
        <v>177</v>
      </c>
    </row>
    <row r="8" customFormat="false" ht="15" hidden="false" customHeight="false" outlineLevel="0" collapsed="false">
      <c r="A8" s="8" t="s">
        <v>178</v>
      </c>
      <c r="B8" s="8" t="s">
        <v>174</v>
      </c>
      <c r="C8" s="8" t="s">
        <v>74</v>
      </c>
      <c r="D8" s="5" t="n">
        <v>23.78</v>
      </c>
      <c r="E8" s="8" t="s">
        <v>179</v>
      </c>
      <c r="F8" s="5" t="n">
        <v>14.99</v>
      </c>
      <c r="G8" s="14" t="n">
        <f aca="false">IF(AND(D8="",F8=""),0,MIN(IF(D8="",1000000000,D8),IF(F8="",1000000000,F8)))</f>
        <v>14.99</v>
      </c>
      <c r="H8" s="18" t="s">
        <v>52</v>
      </c>
      <c r="I8" s="8" t="s">
        <v>180</v>
      </c>
    </row>
    <row r="9" customFormat="false" ht="15" hidden="false" customHeight="false" outlineLevel="0" collapsed="false">
      <c r="A9" s="8" t="s">
        <v>181</v>
      </c>
      <c r="B9" s="8" t="s">
        <v>182</v>
      </c>
      <c r="C9" s="8" t="s">
        <v>183</v>
      </c>
      <c r="D9" s="5" t="n">
        <v>15.99</v>
      </c>
      <c r="E9" s="8" t="s">
        <v>184</v>
      </c>
      <c r="F9" s="5" t="n">
        <v>17.26</v>
      </c>
      <c r="G9" s="14" t="n">
        <f aca="false">IF(AND(D9="",F9=""),0,MIN(IF(D9="",1000000000,D9),IF(F9="",1000000000,F9)))</f>
        <v>15.99</v>
      </c>
      <c r="H9" s="18" t="s">
        <v>52</v>
      </c>
      <c r="I9" s="8" t="s">
        <v>185</v>
      </c>
    </row>
    <row r="10" customFormat="false" ht="15" hidden="false" customHeight="false" outlineLevel="0" collapsed="false">
      <c r="A10" s="8" t="s">
        <v>186</v>
      </c>
      <c r="B10" s="8" t="s">
        <v>182</v>
      </c>
      <c r="C10" s="8" t="s">
        <v>187</v>
      </c>
      <c r="D10" s="5" t="n">
        <v>30.59</v>
      </c>
      <c r="E10" s="8" t="s">
        <v>188</v>
      </c>
      <c r="F10" s="5"/>
      <c r="G10" s="14" t="n">
        <f aca="false">IF(AND(D10="",F10=""),0,MIN(IF(D10="",1000000000,D10),IF(F10="",1000000000,F10)))</f>
        <v>30.59</v>
      </c>
      <c r="H10" s="18" t="s">
        <v>52</v>
      </c>
      <c r="I10" s="8" t="s">
        <v>189</v>
      </c>
    </row>
    <row r="11" customFormat="false" ht="15" hidden="false" customHeight="false" outlineLevel="0" collapsed="false">
      <c r="A11" s="8" t="s">
        <v>190</v>
      </c>
      <c r="B11" s="8" t="s">
        <v>182</v>
      </c>
      <c r="C11" s="8" t="s">
        <v>191</v>
      </c>
      <c r="D11" s="5" t="n">
        <v>14.99</v>
      </c>
      <c r="E11" s="8" t="s">
        <v>175</v>
      </c>
      <c r="F11" s="5"/>
      <c r="G11" s="14" t="n">
        <f aca="false">IF(AND(D11="",F11=""),0,MIN(IF(D11="",1000000000,D11),IF(F11="",1000000000,F11)))</f>
        <v>14.99</v>
      </c>
      <c r="H11" s="18" t="s">
        <v>52</v>
      </c>
      <c r="I11" s="8" t="s">
        <v>192</v>
      </c>
    </row>
    <row r="12" customFormat="false" ht="15" hidden="false" customHeight="false" outlineLevel="0" collapsed="false">
      <c r="A12" s="8" t="s">
        <v>193</v>
      </c>
      <c r="B12" s="8" t="s">
        <v>194</v>
      </c>
      <c r="C12" s="8" t="s">
        <v>195</v>
      </c>
      <c r="D12" s="5" t="n">
        <v>60.99</v>
      </c>
      <c r="E12" s="8" t="s">
        <v>196</v>
      </c>
      <c r="F12" s="5"/>
      <c r="G12" s="14" t="n">
        <f aca="false">IF(AND(D12="",F12=""),0,MIN(IF(D12="",1000000000,D12),IF(F12="",1000000000,F12)))</f>
        <v>60.99</v>
      </c>
      <c r="H12" s="18" t="s">
        <v>78</v>
      </c>
      <c r="I12" s="8" t="s">
        <v>197</v>
      </c>
    </row>
    <row r="13" customFormat="false" ht="15" hidden="false" customHeight="false" outlineLevel="0" collapsed="false">
      <c r="A13" s="8" t="s">
        <v>198</v>
      </c>
      <c r="B13" s="8" t="s">
        <v>194</v>
      </c>
      <c r="C13" s="8" t="s">
        <v>199</v>
      </c>
      <c r="D13" s="5" t="n">
        <v>55.99</v>
      </c>
      <c r="E13" s="8" t="s">
        <v>200</v>
      </c>
      <c r="F13" s="5" t="n">
        <v>111.14</v>
      </c>
      <c r="G13" s="14" t="n">
        <f aca="false">IF(AND(D13="",F13=""),0,MIN(IF(D13="",1000000000,D13),IF(F13="",1000000000,F13)))</f>
        <v>55.99</v>
      </c>
      <c r="H13" s="18" t="s">
        <v>78</v>
      </c>
      <c r="I13" s="8" t="s">
        <v>201</v>
      </c>
    </row>
    <row r="14" customFormat="false" ht="15" hidden="false" customHeight="false" outlineLevel="0" collapsed="false">
      <c r="A14" s="10" t="s">
        <v>202</v>
      </c>
      <c r="G14" s="11" t="n">
        <f aca="false">SUMIF(H5:H13,"Y",G5:G13)</f>
        <v>181.65</v>
      </c>
    </row>
    <row r="16" customFormat="false" ht="15" hidden="false" customHeight="false" outlineLevel="0" collapsed="false">
      <c r="A16" s="2" t="s">
        <v>203</v>
      </c>
    </row>
    <row r="17" customFormat="false" ht="15" hidden="false" customHeight="false" outlineLevel="0" collapsed="false">
      <c r="A17" s="2" t="s">
        <v>204</v>
      </c>
    </row>
  </sheetData>
  <dataValidations count="1">
    <dataValidation allowBlank="false" errorStyle="stop" operator="between" showDropDown="false" showErrorMessage="false" showInputMessage="false" sqref="H5:H1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6"/>
    <col collapsed="false" customWidth="true" hidden="false" outlineLevel="0" max="5" min="4" style="0" width="12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" t="s">
        <v>205</v>
      </c>
    </row>
    <row r="2" customFormat="false" ht="15" hidden="false" customHeight="false" outlineLevel="0" collapsed="false">
      <c r="A2" s="2" t="s">
        <v>206</v>
      </c>
    </row>
    <row r="4" customFormat="false" ht="30" hidden="false" customHeight="true" outlineLevel="0" collapsed="false">
      <c r="A4" s="7" t="s">
        <v>207</v>
      </c>
      <c r="B4" s="7" t="s">
        <v>103</v>
      </c>
      <c r="C4" s="7" t="s">
        <v>208</v>
      </c>
      <c r="D4" s="7" t="s">
        <v>209</v>
      </c>
      <c r="E4" s="7" t="s">
        <v>162</v>
      </c>
      <c r="F4" s="7" t="s">
        <v>210</v>
      </c>
    </row>
    <row r="5" customFormat="false" ht="15" hidden="false" customHeight="false" outlineLevel="0" collapsed="false">
      <c r="A5" s="8" t="s">
        <v>211</v>
      </c>
      <c r="B5" s="8" t="s">
        <v>212</v>
      </c>
      <c r="C5" s="8" t="s">
        <v>213</v>
      </c>
      <c r="D5" s="5" t="n">
        <v>30</v>
      </c>
      <c r="E5" s="18" t="s">
        <v>52</v>
      </c>
      <c r="F5" s="8" t="s">
        <v>214</v>
      </c>
    </row>
    <row r="6" customFormat="false" ht="15" hidden="false" customHeight="false" outlineLevel="0" collapsed="false">
      <c r="A6" s="8" t="s">
        <v>215</v>
      </c>
      <c r="B6" s="8" t="s">
        <v>216</v>
      </c>
      <c r="C6" s="8" t="s">
        <v>217</v>
      </c>
      <c r="D6" s="5" t="n">
        <v>20</v>
      </c>
      <c r="E6" s="18" t="s">
        <v>52</v>
      </c>
      <c r="F6" s="8" t="s">
        <v>218</v>
      </c>
    </row>
    <row r="7" customFormat="false" ht="15" hidden="false" customHeight="false" outlineLevel="0" collapsed="false">
      <c r="A7" s="8" t="s">
        <v>219</v>
      </c>
      <c r="B7" s="8" t="s">
        <v>220</v>
      </c>
      <c r="C7" s="8" t="s">
        <v>221</v>
      </c>
      <c r="D7" s="5" t="n">
        <v>5</v>
      </c>
      <c r="E7" s="18" t="s">
        <v>52</v>
      </c>
      <c r="F7" s="8" t="s">
        <v>222</v>
      </c>
    </row>
    <row r="8" customFormat="false" ht="15" hidden="false" customHeight="false" outlineLevel="0" collapsed="false">
      <c r="A8" s="8" t="s">
        <v>223</v>
      </c>
      <c r="B8" s="8" t="s">
        <v>224</v>
      </c>
      <c r="C8" s="8" t="s">
        <v>225</v>
      </c>
      <c r="D8" s="5" t="n">
        <v>3</v>
      </c>
      <c r="E8" s="18" t="s">
        <v>52</v>
      </c>
      <c r="F8" s="8" t="s">
        <v>226</v>
      </c>
    </row>
    <row r="9" customFormat="false" ht="15" hidden="false" customHeight="false" outlineLevel="0" collapsed="false">
      <c r="A9" s="8" t="s">
        <v>227</v>
      </c>
      <c r="B9" s="8" t="s">
        <v>212</v>
      </c>
      <c r="C9" s="8" t="s">
        <v>228</v>
      </c>
      <c r="D9" s="5" t="n">
        <v>15</v>
      </c>
      <c r="E9" s="18" t="s">
        <v>78</v>
      </c>
      <c r="F9" s="8" t="s">
        <v>229</v>
      </c>
    </row>
    <row r="10" customFormat="false" ht="15" hidden="false" customHeight="false" outlineLevel="0" collapsed="false">
      <c r="A10" s="10" t="s">
        <v>230</v>
      </c>
      <c r="D10" s="11" t="n">
        <f aca="false">SUMIF(E5:E9,"Y",D5:D9)</f>
        <v>58</v>
      </c>
    </row>
    <row r="12" customFormat="false" ht="15" hidden="false" customHeight="false" outlineLevel="0" collapsed="false">
      <c r="A12" s="2" t="s">
        <v>231</v>
      </c>
    </row>
  </sheetData>
  <dataValidations count="1">
    <dataValidation allowBlank="false" errorStyle="stop" operator="between" showDropDown="false" showErrorMessage="false" showInputMessage="false" sqref="E5:E9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232</v>
      </c>
    </row>
    <row r="2" customFormat="false" ht="15" hidden="false" customHeight="false" outlineLevel="0" collapsed="false">
      <c r="A2" s="2" t="s">
        <v>233</v>
      </c>
    </row>
    <row r="4" customFormat="false" ht="30" hidden="false" customHeight="true" outlineLevel="0" collapsed="false">
      <c r="A4" s="7" t="s">
        <v>38</v>
      </c>
      <c r="B4" s="7" t="s">
        <v>40</v>
      </c>
      <c r="C4" s="7" t="s">
        <v>41</v>
      </c>
      <c r="D4" s="7" t="s">
        <v>144</v>
      </c>
      <c r="E4" s="7" t="s">
        <v>43</v>
      </c>
      <c r="F4" s="7" t="s">
        <v>210</v>
      </c>
    </row>
    <row r="5" customFormat="false" ht="15" hidden="false" customHeight="false" outlineLevel="0" collapsed="false">
      <c r="A5" s="8" t="s">
        <v>234</v>
      </c>
      <c r="B5" s="8" t="s">
        <v>235</v>
      </c>
      <c r="C5" s="4" t="n">
        <v>2</v>
      </c>
      <c r="D5" s="5" t="n">
        <v>9.5</v>
      </c>
      <c r="E5" s="14" t="n">
        <f aca="false">C5*D5</f>
        <v>19</v>
      </c>
      <c r="F5" s="8" t="s">
        <v>236</v>
      </c>
    </row>
    <row r="6" customFormat="false" ht="15" hidden="false" customHeight="false" outlineLevel="0" collapsed="false">
      <c r="A6" s="8" t="s">
        <v>237</v>
      </c>
      <c r="B6" s="8" t="s">
        <v>74</v>
      </c>
      <c r="C6" s="4" t="n">
        <v>1</v>
      </c>
      <c r="D6" s="5" t="n">
        <v>5.44</v>
      </c>
      <c r="E6" s="14" t="n">
        <f aca="false">C6*D6</f>
        <v>5.44</v>
      </c>
      <c r="F6" s="8" t="s">
        <v>238</v>
      </c>
    </row>
    <row r="7" customFormat="false" ht="15" hidden="false" customHeight="false" outlineLevel="0" collapsed="false">
      <c r="A7" s="8" t="s">
        <v>239</v>
      </c>
      <c r="B7" s="8" t="s">
        <v>240</v>
      </c>
      <c r="C7" s="4" t="n">
        <v>1</v>
      </c>
      <c r="D7" s="5" t="n">
        <v>11.82</v>
      </c>
      <c r="E7" s="14" t="n">
        <f aca="false">C7*D7</f>
        <v>11.82</v>
      </c>
      <c r="F7" s="8" t="s">
        <v>241</v>
      </c>
    </row>
    <row r="8" customFormat="false" ht="15" hidden="false" customHeight="false" outlineLevel="0" collapsed="false">
      <c r="A8" s="8" t="s">
        <v>242</v>
      </c>
      <c r="B8" s="8" t="s">
        <v>243</v>
      </c>
      <c r="C8" s="4" t="n">
        <v>1</v>
      </c>
      <c r="D8" s="5" t="n">
        <v>0</v>
      </c>
      <c r="E8" s="14" t="n">
        <f aca="false">C8*D8</f>
        <v>0</v>
      </c>
      <c r="F8" s="8" t="s">
        <v>244</v>
      </c>
    </row>
    <row r="9" customFormat="false" ht="15" hidden="false" customHeight="false" outlineLevel="0" collapsed="false">
      <c r="A9" s="10" t="s">
        <v>245</v>
      </c>
      <c r="E9" s="11" t="n">
        <f aca="false">SUM(E5:E8)</f>
        <v>36.26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50"/>
  </cols>
  <sheetData>
    <row r="1" customFormat="false" ht="17.35" hidden="false" customHeight="false" outlineLevel="0" collapsed="false">
      <c r="A1" s="1" t="s">
        <v>246</v>
      </c>
    </row>
    <row r="2" customFormat="false" ht="15" hidden="false" customHeight="false" outlineLevel="0" collapsed="false">
      <c r="A2" s="2" t="s">
        <v>247</v>
      </c>
    </row>
    <row r="4" customFormat="false" ht="15" hidden="false" customHeight="false" outlineLevel="0" collapsed="false">
      <c r="A4" s="3" t="s">
        <v>248</v>
      </c>
      <c r="B4" s="22" t="n">
        <v>24</v>
      </c>
    </row>
    <row r="5" customFormat="false" ht="15" hidden="false" customHeight="false" outlineLevel="0" collapsed="false">
      <c r="A5" s="3" t="s">
        <v>249</v>
      </c>
      <c r="B5" s="5" t="n">
        <v>6.61</v>
      </c>
    </row>
    <row r="7" customFormat="false" ht="30" hidden="false" customHeight="true" outlineLevel="0" collapsed="false">
      <c r="A7" s="7" t="s">
        <v>250</v>
      </c>
      <c r="B7" s="7" t="s">
        <v>251</v>
      </c>
      <c r="C7" s="7" t="s">
        <v>252</v>
      </c>
      <c r="D7" s="7" t="s">
        <v>253</v>
      </c>
      <c r="E7" s="7" t="s">
        <v>254</v>
      </c>
      <c r="F7" s="7" t="s">
        <v>255</v>
      </c>
      <c r="G7" s="7" t="s">
        <v>256</v>
      </c>
      <c r="H7" s="7" t="s">
        <v>257</v>
      </c>
    </row>
    <row r="8" customFormat="false" ht="15" hidden="false" customHeight="false" outlineLevel="0" collapsed="false">
      <c r="A8" s="8" t="s">
        <v>258</v>
      </c>
      <c r="B8" s="5" t="n">
        <v>14.94</v>
      </c>
      <c r="C8" s="5" t="n">
        <v>2.95</v>
      </c>
      <c r="D8" s="5" t="n">
        <v>0</v>
      </c>
      <c r="E8" s="5" t="n">
        <v>0</v>
      </c>
      <c r="F8" s="14" t="n">
        <f aca="false">IF(B8="","quote",(B8+C8+D8)*$B$4+E8)</f>
        <v>429.36</v>
      </c>
      <c r="G8" s="14" t="n">
        <f aca="false">IF(B8="","quote",F8/$B$4)</f>
        <v>17.89</v>
      </c>
      <c r="H8" s="8" t="s">
        <v>259</v>
      </c>
    </row>
    <row r="9" customFormat="false" ht="15" hidden="false" customHeight="false" outlineLevel="0" collapsed="false">
      <c r="A9" s="8" t="s">
        <v>260</v>
      </c>
      <c r="B9" s="5" t="n">
        <v>13</v>
      </c>
      <c r="C9" s="5" t="n">
        <v>5</v>
      </c>
      <c r="D9" s="5" t="n">
        <v>0</v>
      </c>
      <c r="E9" s="5" t="n">
        <v>0</v>
      </c>
      <c r="F9" s="14" t="n">
        <f aca="false">IF(B9="","quote",(B9+C9+D9)*$B$4+E9)</f>
        <v>432</v>
      </c>
      <c r="G9" s="14" t="n">
        <f aca="false">IF(B9="","quote",F9/$B$4)</f>
        <v>18</v>
      </c>
      <c r="H9" s="8" t="s">
        <v>261</v>
      </c>
    </row>
    <row r="10" customFormat="false" ht="15" hidden="false" customHeight="false" outlineLevel="0" collapsed="false">
      <c r="A10" s="8" t="s">
        <v>262</v>
      </c>
      <c r="B10" s="5" t="n">
        <v>20</v>
      </c>
      <c r="C10" s="5" t="n">
        <v>20</v>
      </c>
      <c r="D10" s="14" t="n">
        <f aca="false">$B$5</f>
        <v>6.61</v>
      </c>
      <c r="E10" s="5" t="n">
        <v>0</v>
      </c>
      <c r="F10" s="14" t="n">
        <f aca="false">IF(B10="","quote",(B10+C10+D10)*$B$4+E10)</f>
        <v>1118.64</v>
      </c>
      <c r="G10" s="14" t="n">
        <f aca="false">IF(B10="","quote",F10/$B$4)</f>
        <v>46.61</v>
      </c>
      <c r="H10" s="8" t="s">
        <v>263</v>
      </c>
    </row>
    <row r="11" customFormat="false" ht="15" hidden="false" customHeight="false" outlineLevel="0" collapsed="false">
      <c r="A11" s="8" t="s">
        <v>264</v>
      </c>
      <c r="B11" s="5"/>
      <c r="C11" s="5"/>
      <c r="D11" s="14" t="n">
        <f aca="false">$B$5</f>
        <v>6.61</v>
      </c>
      <c r="E11" s="5" t="n">
        <v>0</v>
      </c>
      <c r="F11" s="14" t="str">
        <f aca="false">IF(B11="","quote",(B11+C11+D11)*$B$4+E11)</f>
        <v>quote</v>
      </c>
      <c r="G11" s="14" t="str">
        <f aca="false">IF(B11="","quote",F11/$B$4)</f>
        <v>quote</v>
      </c>
      <c r="H11" s="8" t="s">
        <v>265</v>
      </c>
    </row>
    <row r="12" customFormat="false" ht="15" hidden="false" customHeight="false" outlineLevel="0" collapsed="false">
      <c r="A12" s="8" t="s">
        <v>266</v>
      </c>
      <c r="B12" s="5" t="n">
        <v>0</v>
      </c>
      <c r="C12" s="5" t="n">
        <v>0</v>
      </c>
      <c r="D12" s="14" t="n">
        <f aca="false">$B$5</f>
        <v>6.61</v>
      </c>
      <c r="E12" s="5" t="n">
        <v>30</v>
      </c>
      <c r="F12" s="14" t="n">
        <f aca="false">IF(B12="","quote",(B12+C12+D12)*$B$4+E12)</f>
        <v>188.64</v>
      </c>
      <c r="G12" s="14" t="n">
        <f aca="false">IF(B12="","quote",F12/$B$4)</f>
        <v>7.86</v>
      </c>
      <c r="H12" s="8" t="s">
        <v>267</v>
      </c>
    </row>
    <row r="14" customFormat="false" ht="15" hidden="false" customHeight="false" outlineLevel="0" collapsed="false">
      <c r="A14" s="3" t="s">
        <v>268</v>
      </c>
      <c r="B14" s="27" t="s">
        <v>258</v>
      </c>
    </row>
    <row r="15" customFormat="false" ht="15" hidden="false" customHeight="false" outlineLevel="0" collapsed="false">
      <c r="A15" s="3" t="s">
        <v>269</v>
      </c>
      <c r="B15" s="6" t="n">
        <f aca="false">IFERROR(INDEX(F8:F12,MATCH(B14,A8:A12,0))+0,0)</f>
        <v>429.36</v>
      </c>
    </row>
    <row r="17" customFormat="false" ht="15" hidden="false" customHeight="false" outlineLevel="0" collapsed="false">
      <c r="A17" s="2" t="s">
        <v>270</v>
      </c>
    </row>
    <row r="18" customFormat="false" ht="15" hidden="false" customHeight="false" outlineLevel="0" collapsed="false">
      <c r="A18" s="2" t="s">
        <v>271</v>
      </c>
    </row>
  </sheetData>
  <dataValidations count="1">
    <dataValidation allowBlank="false" errorStyle="stop" operator="between" showDropDown="false" showErrorMessage="false" showInputMessage="false" sqref="B14" type="list">
      <formula1>$A$8:$A$12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272</v>
      </c>
    </row>
    <row r="2" customFormat="false" ht="15" hidden="false" customHeight="false" outlineLevel="0" collapsed="false">
      <c r="A2" s="2" t="s">
        <v>273</v>
      </c>
    </row>
    <row r="4" customFormat="false" ht="30" hidden="false" customHeight="true" outlineLevel="0" collapsed="false">
      <c r="A4" s="7" t="s">
        <v>274</v>
      </c>
      <c r="B4" s="7" t="s">
        <v>103</v>
      </c>
      <c r="C4" s="7" t="s">
        <v>275</v>
      </c>
    </row>
    <row r="5" customFormat="false" ht="15" hidden="false" customHeight="false" outlineLevel="0" collapsed="false">
      <c r="A5" s="28" t="s">
        <v>276</v>
      </c>
      <c r="B5" s="28" t="s">
        <v>277</v>
      </c>
      <c r="C5" s="28" t="s">
        <v>278</v>
      </c>
    </row>
    <row r="6" customFormat="false" ht="15" hidden="false" customHeight="false" outlineLevel="0" collapsed="false">
      <c r="A6" s="28" t="s">
        <v>276</v>
      </c>
      <c r="B6" s="28" t="s">
        <v>279</v>
      </c>
      <c r="C6" s="28" t="s">
        <v>280</v>
      </c>
    </row>
    <row r="7" customFormat="false" ht="15" hidden="false" customHeight="false" outlineLevel="0" collapsed="false">
      <c r="A7" s="28" t="s">
        <v>281</v>
      </c>
      <c r="B7" s="28" t="s">
        <v>282</v>
      </c>
      <c r="C7" s="28" t="s">
        <v>283</v>
      </c>
    </row>
    <row r="8" customFormat="false" ht="15" hidden="false" customHeight="false" outlineLevel="0" collapsed="false">
      <c r="A8" s="28" t="s">
        <v>284</v>
      </c>
      <c r="B8" s="28" t="s">
        <v>285</v>
      </c>
      <c r="C8" s="28" t="s">
        <v>286</v>
      </c>
    </row>
    <row r="9" customFormat="false" ht="15" hidden="false" customHeight="false" outlineLevel="0" collapsed="false">
      <c r="A9" s="28" t="s">
        <v>287</v>
      </c>
      <c r="B9" s="28" t="s">
        <v>288</v>
      </c>
      <c r="C9" s="28" t="s">
        <v>289</v>
      </c>
    </row>
    <row r="10" customFormat="false" ht="23.85" hidden="false" customHeight="false" outlineLevel="0" collapsed="false">
      <c r="A10" s="28" t="s">
        <v>290</v>
      </c>
      <c r="B10" s="28" t="s">
        <v>291</v>
      </c>
      <c r="C10" s="28" t="s">
        <v>292</v>
      </c>
    </row>
    <row r="11" customFormat="false" ht="23.85" hidden="false" customHeight="false" outlineLevel="0" collapsed="false">
      <c r="A11" s="28" t="s">
        <v>290</v>
      </c>
      <c r="B11" s="28" t="s">
        <v>55</v>
      </c>
      <c r="C11" s="28" t="s">
        <v>293</v>
      </c>
    </row>
    <row r="12" customFormat="false" ht="15" hidden="false" customHeight="false" outlineLevel="0" collapsed="false">
      <c r="A12" s="28" t="s">
        <v>290</v>
      </c>
      <c r="B12" s="28" t="s">
        <v>294</v>
      </c>
      <c r="C12" s="28" t="s">
        <v>295</v>
      </c>
    </row>
    <row r="13" customFormat="false" ht="23.85" hidden="false" customHeight="false" outlineLevel="0" collapsed="false">
      <c r="A13" s="28" t="s">
        <v>296</v>
      </c>
      <c r="B13" s="28" t="s">
        <v>297</v>
      </c>
      <c r="C13" s="28" t="s">
        <v>298</v>
      </c>
    </row>
    <row r="14" customFormat="false" ht="15" hidden="false" customHeight="false" outlineLevel="0" collapsed="false">
      <c r="A14" s="28" t="s">
        <v>299</v>
      </c>
      <c r="B14" s="28" t="s">
        <v>300</v>
      </c>
      <c r="C14" s="28" t="s">
        <v>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302</v>
      </c>
    </row>
    <row r="2" customFormat="false" ht="15" hidden="false" customHeight="false" outlineLevel="0" collapsed="false">
      <c r="A2" s="2" t="s">
        <v>303</v>
      </c>
    </row>
    <row r="4" customFormat="false" ht="15" hidden="false" customHeight="false" outlineLevel="0" collapsed="false">
      <c r="A4" s="28" t="s">
        <v>304</v>
      </c>
    </row>
    <row r="5" customFormat="false" ht="23.85" hidden="false" customHeight="false" outlineLevel="0" collapsed="false">
      <c r="A5" s="28" t="s">
        <v>305</v>
      </c>
    </row>
    <row r="6" customFormat="false" ht="23.85" hidden="false" customHeight="false" outlineLevel="0" collapsed="false">
      <c r="A6" s="28" t="s">
        <v>306</v>
      </c>
    </row>
    <row r="7" customFormat="false" ht="23.85" hidden="false" customHeight="false" outlineLevel="0" collapsed="false">
      <c r="A7" s="28" t="s">
        <v>307</v>
      </c>
    </row>
    <row r="8" customFormat="false" ht="23.85" hidden="false" customHeight="false" outlineLevel="0" collapsed="false">
      <c r="A8" s="28" t="s">
        <v>308</v>
      </c>
    </row>
    <row r="9" customFormat="false" ht="23.85" hidden="false" customHeight="false" outlineLevel="0" collapsed="false">
      <c r="A9" s="28" t="s">
        <v>309</v>
      </c>
    </row>
    <row r="10" customFormat="false" ht="23.85" hidden="false" customHeight="false" outlineLevel="0" collapsed="false">
      <c r="A10" s="28" t="s">
        <v>310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2026-10-05T20:18:37Z</dcterms:created>
  <dc:creator>openpyxl</dc:creator>
  <dc:description/>
  <dc:language>en-US</dc:language>
  <cp:lastModifiedBy/>
  <dcterms:modified xsi:type="dcterms:W3CDTF">2026-10-05T20:18:37Z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