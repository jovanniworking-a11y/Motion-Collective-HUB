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Shopping List" sheetId="2" state="visible" r:id="rId4"/>
    <sheet name="Punch" sheetId="3" state="visible" r:id="rId5"/>
    <sheet name="Price Compare" sheetId="4" state="visible" r:id="rId6"/>
    <sheet name="Notes &amp; 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4" authorId="0">
      <text>
        <r>
          <rPr>
            <sz val="10"/>
            <rFont val="Arial"/>
            <family val="2"/>
          </rPr>
          <t xml:space="preserve">Source: https://www.heb.com/product-detail/h-e-b-cranberry-cocktail-juice/5785031 (checked 5 Oct 2026)</t>
        </r>
      </text>
    </comment>
    <comment ref="H15" authorId="0">
      <text>
        <r>
          <rPr>
            <sz val="10"/>
            <rFont val="Arial"/>
            <family val="2"/>
          </rPr>
          <t xml:space="preserve">Source: https://www.heb.com/ (checked 5 Oct 2026)</t>
        </r>
      </text>
    </comment>
    <comment ref="H16" authorId="0">
      <text>
        <r>
          <rPr>
            <sz val="10"/>
            <rFont val="Arial"/>
            <family val="2"/>
          </rPr>
          <t xml:space="preserve">Source: https://www.heb.com/product-detail/h-e-b-club-soda/125681 (checked 5 Oct 2026)</t>
        </r>
      </text>
    </comment>
    <comment ref="H17" authorId="0">
      <text>
        <r>
          <rPr>
            <sz val="10"/>
            <rFont val="Arial"/>
            <family val="2"/>
          </rPr>
          <t xml:space="preserve">Source: https://www.walmart.com/ip/170115537 (checked 5 Oct 2026)</t>
        </r>
      </text>
    </comment>
    <comment ref="H18" authorId="0">
      <text>
        <r>
          <rPr>
            <sz val="10"/>
            <rFont val="Arial"/>
            <family val="2"/>
          </rPr>
          <t xml:space="preserve">Source: https://www.heb.com/product-detail/1042431 (checked 5 Oct 2026)</t>
        </r>
      </text>
    </comment>
    <comment ref="H19" authorId="0">
      <text>
        <r>
          <rPr>
            <sz val="10"/>
            <rFont val="Arial"/>
            <family val="2"/>
          </rPr>
          <t xml:space="preserve">Source: https://www.samsclub.com/ip/7874220648 (checked 5 Oct 2026)</t>
        </r>
      </text>
    </comment>
    <comment ref="H20" authorId="0">
      <text>
        <r>
          <rPr>
            <sz val="10"/>
            <rFont val="Arial"/>
            <family val="2"/>
          </rPr>
          <t xml:space="preserve">Source: https://www.heb.com/product-detail/645601 (checked 5 Oct 2026)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8" authorId="0">
      <text>
        <r>
          <rPr>
            <sz val="10"/>
            <rFont val="Arial"/>
            <family val="2"/>
          </rPr>
          <t xml:space="preserve">ABV not listed on the product page; typical value for this product assumed.</t>
        </r>
      </text>
    </comment>
    <comment ref="G29" authorId="0">
      <text>
        <r>
          <rPr>
            <sz val="10"/>
            <rFont val="Arial"/>
            <family val="2"/>
          </rPr>
          <t xml:space="preserve">ABV not listed on the product page; typical value for this product assumed.</t>
        </r>
      </text>
    </comment>
    <comment ref="G30" authorId="0">
      <text>
        <r>
          <rPr>
            <sz val="10"/>
            <rFont val="Arial"/>
            <family val="2"/>
          </rPr>
          <t xml:space="preserve">ABV not listed on the product page; typical value for this product assumed.</t>
        </r>
      </text>
    </comment>
    <comment ref="G32" authorId="0">
      <text>
        <r>
          <rPr>
            <sz val="10"/>
            <rFont val="Arial"/>
            <family val="2"/>
          </rPr>
          <t xml:space="preserve">ABV not listed on the product page; typical value for this product assumed.</t>
        </r>
      </text>
    </comment>
    <comment ref="G34" authorId="0">
      <text>
        <r>
          <rPr>
            <sz val="10"/>
            <rFont val="Arial"/>
            <family val="2"/>
          </rPr>
          <t xml:space="preserve">ABV not listed on the product page; typical value for this product assumed.</t>
        </r>
      </text>
    </comment>
  </commentList>
</comments>
</file>

<file path=xl/sharedStrings.xml><?xml version="1.0" encoding="utf-8"?>
<sst xmlns="http://schemas.openxmlformats.org/spreadsheetml/2006/main" count="374" uniqueCount="236">
  <si>
    <t xml:space="preserve">Devil's Night · drinks plan</t>
  </si>
  <si>
    <t xml:space="preserve">Fri 30 Oct 2026, 9 PM–2 AM. Change the yellow cells; everything else updates.</t>
  </si>
  <si>
    <t xml:space="preserve">Headcount</t>
  </si>
  <si>
    <t xml:space="preserve">Guests (incl. crew)</t>
  </si>
  <si>
    <t xml:space="preserve">Drinkers (21+, drinking)</t>
  </si>
  <si>
    <t xml:space="preserve">Drinks each (target)</t>
  </si>
  <si>
    <t xml:space="preserve">Buffer so we don't run out</t>
  </si>
  <si>
    <t xml:space="preserve">Do we have enough?</t>
  </si>
  <si>
    <t xml:space="preserve">Standard drinks needed</t>
  </si>
  <si>
    <t xml:space="preserve">Standard drinks planned (guests)</t>
  </si>
  <si>
    <t xml:space="preserve">Drinks per drinker</t>
  </si>
  <si>
    <t xml:space="preserve">Status</t>
  </si>
  <si>
    <t xml:space="preserve">Cost</t>
  </si>
  <si>
    <t xml:space="preserve">Drinks total (before tax)</t>
  </si>
  <si>
    <t xml:space="preserve">Cost per guest drink</t>
  </si>
  <si>
    <t xml:space="preserve">Cost per guest</t>
  </si>
  <si>
    <t xml:space="preserve">Event budget</t>
  </si>
  <si>
    <t xml:space="preserve">Crew members</t>
  </si>
  <si>
    <t xml:space="preserve">Each pays</t>
  </si>
  <si>
    <t xml:space="preserve">Budget</t>
  </si>
  <si>
    <t xml:space="preserve">he/they (co.b_nguyen b2b Nioon)</t>
  </si>
  <si>
    <t xml:space="preserve">Drinks</t>
  </si>
  <si>
    <t xml:space="preserve">Decor (lean cart)</t>
  </si>
  <si>
    <t xml:space="preserve">Mirror ball rental</t>
  </si>
  <si>
    <t xml:space="preserve">Fill in once he quotes</t>
  </si>
  <si>
    <t xml:space="preserve">Rohan Rali</t>
  </si>
  <si>
    <t xml:space="preserve">Pizza or snacks, recommended</t>
  </si>
  <si>
    <t xml:space="preserve">Food</t>
  </si>
  <si>
    <t xml:space="preserve">Left</t>
  </si>
  <si>
    <t xml:space="preserve">Where to buy</t>
  </si>
  <si>
    <t xml:space="preserve">Twin Liquors (or WB Liquors at Costco, Kelly Ln): the punch spirit, triple sec, tequila, soju, Cutwater. Liquor stores: Mon–Sat 10am–9pm, closed Sunday.</t>
  </si>
  <si>
    <t xml:space="preserve">H-E-B: cranberry, limes, club soda, water, napkins, BeatBox, BuzzBallz, White Claw (beer, wine and malt drinks are sold in grocery stores).</t>
  </si>
  <si>
    <t xml:space="preserve">Walmart: Miller Lite 30-pack and ice. Sam's Club: cups.</t>
  </si>
  <si>
    <t xml:space="preserve">Buy ice on Friday afternoon. Everything else any weekday before.</t>
  </si>
  <si>
    <t xml:space="preserve">Shopping list</t>
  </si>
  <si>
    <t xml:space="preserve">Yellow Qty cells are yours to change. Punch rows follow the Punch tab. Prices and ABV come from Price Compare (green) or are typed here (blue).</t>
  </si>
  <si>
    <t xml:space="preserve">Item</t>
  </si>
  <si>
    <t xml:space="preserve">Store</t>
  </si>
  <si>
    <t xml:space="preserve">Group</t>
  </si>
  <si>
    <t xml:space="preserve">Units / pack</t>
  </si>
  <si>
    <t xml:space="preserve">oz / unit</t>
  </si>
  <si>
    <t xml:space="preserve">ABV</t>
  </si>
  <si>
    <t xml:space="preserve">Qty</t>
  </si>
  <si>
    <t xml:space="preserve">Unit price</t>
  </si>
  <si>
    <t xml:space="preserve">Standard drinks</t>
  </si>
  <si>
    <t xml:space="preserve">For guests?</t>
  </si>
  <si>
    <t xml:space="preserve">Guest drinks</t>
  </si>
  <si>
    <t xml:space="preserve">$ per drink</t>
  </si>
  <si>
    <t xml:space="preserve">Punch</t>
  </si>
  <si>
    <t xml:space="preserve">Y</t>
  </si>
  <si>
    <t xml:space="preserve">N</t>
  </si>
  <si>
    <t xml:space="preserve">Shots</t>
  </si>
  <si>
    <t xml:space="preserve">he/they rider</t>
  </si>
  <si>
    <t xml:space="preserve">Beer</t>
  </si>
  <si>
    <t xml:space="preserve">Seltzer</t>
  </si>
  <si>
    <t xml:space="preserve">Ready to drink</t>
  </si>
  <si>
    <t xml:space="preserve">H-E-B cranberry cocktail 96 oz</t>
  </si>
  <si>
    <t xml:space="preserve">H-E-B</t>
  </si>
  <si>
    <t xml:space="preserve">Punch mixer</t>
  </si>
  <si>
    <t xml:space="preserve">-</t>
  </si>
  <si>
    <t xml:space="preserve">Limes</t>
  </si>
  <si>
    <t xml:space="preserve">Club soda 2 L</t>
  </si>
  <si>
    <t xml:space="preserve">Ice 10 lb bag (buy Friday)</t>
  </si>
  <si>
    <t xml:space="preserve">Walmart</t>
  </si>
  <si>
    <t xml:space="preserve">Supplies</t>
  </si>
  <si>
    <t xml:space="preserve">Bottled water 24-pack</t>
  </si>
  <si>
    <t xml:space="preserve">Clear 16 oz cups, 132 ct</t>
  </si>
  <si>
    <t xml:space="preserve">Sam's Club</t>
  </si>
  <si>
    <t xml:space="preserve">Napkins 500 ct</t>
  </si>
  <si>
    <t xml:space="preserve">Total</t>
  </si>
  <si>
    <t xml:space="preserve">Prices before tax. Twin Liquors prices are the Round Rock store; H-E-B prices may come from a non-Austin default store. Soju is for he/they and isn't counted in guest drinks.</t>
  </si>
  <si>
    <t xml:space="preserve">Punch row: guest drinks = what the punch batch holds (spirit + triple sec), so leftover spirit isn't counted.</t>
  </si>
  <si>
    <t xml:space="preserve">By group</t>
  </si>
  <si>
    <t xml:space="preserve">Devil's Night punch</t>
  </si>
  <si>
    <t xml:space="preserve">Change the yellow cells. The base spirit list comes from Price Compare; the recipe keeps the same alcohol per gallon whichever spirit you pick.</t>
  </si>
  <si>
    <t xml:space="preserve">Punch gallons</t>
  </si>
  <si>
    <t xml:space="preserve">How many gallons of punch over the night (2 at doors, then refills).</t>
  </si>
  <si>
    <t xml:space="preserve">0.0 (no alcohol) gallons</t>
  </si>
  <si>
    <t xml:space="preserve">Base spirit</t>
  </si>
  <si>
    <t xml:space="preserve">Everclear 190</t>
  </si>
  <si>
    <t xml:space="preserve">Pick from the list. Svedka/Smirnoff cost almost the same per drink and are far safer to pour.</t>
  </si>
  <si>
    <t xml:space="preserve">Pure alcohol per gallon (oz)</t>
  </si>
  <si>
    <t xml:space="preserve">9.3 oz = about 23 oz of 80-proof vodka or 9.8 oz of Everclear per gallon.</t>
  </si>
  <si>
    <t xml:space="preserve">Triple sec per gallon (oz)</t>
  </si>
  <si>
    <t xml:space="preserve">DeKuyper, 15% ABV.</t>
  </si>
  <si>
    <t xml:space="preserve">Cranberry per gallon (oz)</t>
  </si>
  <si>
    <t xml:space="preserve">H-E-B cranberry cocktail.</t>
  </si>
  <si>
    <t xml:space="preserve">Lime juice per gallon (oz)</t>
  </si>
  <si>
    <t xml:space="preserve">About 12 limes.</t>
  </si>
  <si>
    <t xml:space="preserve">Calculated</t>
  </si>
  <si>
    <t xml:space="preserve">Base spirit ABV</t>
  </si>
  <si>
    <t xml:space="preserve">Base spirit bottle size (oz)</t>
  </si>
  <si>
    <t xml:space="preserve">Base spirit bottle price</t>
  </si>
  <si>
    <t xml:space="preserve">Base spirit per gallon (oz)</t>
  </si>
  <si>
    <t xml:space="preserve">Club soda per gallon (oz)</t>
  </si>
  <si>
    <t xml:space="preserve">Punch ABV</t>
  </si>
  <si>
    <t xml:space="preserve">Standard drinks per gallon</t>
  </si>
  <si>
    <t xml:space="preserve">9 oz cup = standard drinks</t>
  </si>
  <si>
    <t xml:space="preserve">Recipe per gallon (128 oz)</t>
  </si>
  <si>
    <t xml:space="preserve">oz</t>
  </si>
  <si>
    <t xml:space="preserve">Triple sec</t>
  </si>
  <si>
    <t xml:space="preserve">Cranberry juice cocktail</t>
  </si>
  <si>
    <t xml:space="preserve">Fresh lime juice</t>
  </si>
  <si>
    <t xml:space="preserve">Club soda (add when serving)</t>
  </si>
  <si>
    <t xml:space="preserve">0.0 per gallon: cranberry 80 oz, lime 16 oz, club soda 32 oz.</t>
  </si>
  <si>
    <t xml:space="preserve">Batch totals (feed the Shopping List)</t>
  </si>
  <si>
    <t xml:space="preserve">Base spirit bottles</t>
  </si>
  <si>
    <t xml:space="preserve">Triple sec 1 L bottles</t>
  </si>
  <si>
    <t xml:space="preserve">Cranberry 96 oz jugs (incl. 1 spare)</t>
  </si>
  <si>
    <t xml:space="preserve">Limes (about 1 oz each)</t>
  </si>
  <si>
    <t xml:space="preserve">Club soda 2 L bottles</t>
  </si>
  <si>
    <t xml:space="preserve">Punch standard drinks</t>
  </si>
  <si>
    <t xml:space="preserve">Price Compare · alcohol, checked 5 Oct 2026</t>
  </si>
  <si>
    <t xml:space="preserve">Blue = typed-in price or ABV (edit if the shelf differs). Black = calculated. Standard drink = 0.6 oz of pure alcohol (US).</t>
  </si>
  <si>
    <t xml:space="preserve">Category</t>
  </si>
  <si>
    <t xml:space="preserve">Product</t>
  </si>
  <si>
    <t xml:space="preserve">Size</t>
  </si>
  <si>
    <t xml:space="preserve">Price</t>
  </si>
  <si>
    <t xml:space="preserve">Standard drinks / pack</t>
  </si>
  <si>
    <t xml:space="preserve">$ per standard drink</t>
  </si>
  <si>
    <t xml:space="preserve">Notes</t>
  </si>
  <si>
    <t xml:space="preserve">Source</t>
  </si>
  <si>
    <t xml:space="preserve">Punch base</t>
  </si>
  <si>
    <t xml:space="preserve">Twin Liquors (Round Rock)</t>
  </si>
  <si>
    <t xml:space="preserve">1.75 L</t>
  </si>
  <si>
    <t xml:space="preserve">Cheapest per drink. 95% alcohol: jigger only, flammable, never as shots.</t>
  </si>
  <si>
    <t xml:space="preserve">https://twinliquors.com/shop/product/everclear-190/56caaf6e7562752ed5441600</t>
  </si>
  <si>
    <t xml:space="preserve">Everclear 190 (750 ml)</t>
  </si>
  <si>
    <t xml:space="preserve">750 ml</t>
  </si>
  <si>
    <t xml:space="preserve">Worse value than the 1.75 L.</t>
  </si>
  <si>
    <t xml:space="preserve">https://twinliquors.com/shop/product/everclear-190/56caaf777562752ed5461600</t>
  </si>
  <si>
    <t xml:space="preserve">Svedka</t>
  </si>
  <si>
    <t xml:space="preserve">Best-value vodka. Clean in punch, much safer to pour than Everclear.</t>
  </si>
  <si>
    <t xml:space="preserve">https://twinliquors.com/shop/product/svedka-80-proof-vodka/564bd7e469702d5e6e6e0000</t>
  </si>
  <si>
    <t xml:space="preserve">Smirnoff 80</t>
  </si>
  <si>
    <t xml:space="preserve">Same tier as Svedka.</t>
  </si>
  <si>
    <t xml:space="preserve">https://twinliquors.com/shop/product/smirnoff-80-proof-vodka/5521cef66561310003380200</t>
  </si>
  <si>
    <t xml:space="preserve">New Amsterdam</t>
  </si>
  <si>
    <t xml:space="preserve">https://twinliquors.com/shop/product/new-amsterdam-80-proof-vodka/5521cef46561310003d70100</t>
  </si>
  <si>
    <t xml:space="preserve">Wolfschmidt</t>
  </si>
  <si>
    <t xml:space="preserve">Cheapest vodka; harsher.</t>
  </si>
  <si>
    <t xml:space="preserve">https://twinliquors.com/shop/product/wolfschmidt-80-proof-vodka/587d3b70bfb24113b11b0173</t>
  </si>
  <si>
    <t xml:space="preserve">Western Son</t>
  </si>
  <si>
    <t xml:space="preserve">Texas-made. Out of stock at Round Rock on 5 Oct.</t>
  </si>
  <si>
    <t xml:space="preserve">https://twinliquors.com/shop/product/western-son-vodka/5967142912f2fb071587e708</t>
  </si>
  <si>
    <t xml:space="preserve">Deep Eddy Original</t>
  </si>
  <si>
    <t xml:space="preserve">Austin-made.</t>
  </si>
  <si>
    <t xml:space="preserve">https://twinliquors.com/shop/product/deep-eddy-vodka-original/56caaaf37562752ed5ba1500</t>
  </si>
  <si>
    <t xml:space="preserve">Tito's Handmade</t>
  </si>
  <si>
    <t xml:space="preserve">Austin-made, best known.</t>
  </si>
  <si>
    <t xml:space="preserve">https://twinliquors.com/shop/product/titos-handmade-vodka/564bd96269702d5e977a0100</t>
  </si>
  <si>
    <t xml:space="preserve">Absolut</t>
  </si>
  <si>
    <t xml:space="preserve">https://twinliquors.com/shop/product/absolut-vodka/618e7c297f9199660f0132b8</t>
  </si>
  <si>
    <t xml:space="preserve">Bacardi Superior (rum)</t>
  </si>
  <si>
    <t xml:space="preserve">Rum punch option.</t>
  </si>
  <si>
    <t xml:space="preserve">https://twinliquors.com/shop/product/bacardi-superior-rum/587e15d239e21c07b160de8c</t>
  </si>
  <si>
    <t xml:space="preserve">Orange liqueur</t>
  </si>
  <si>
    <t xml:space="preserve">DeKuyper Triple Sec</t>
  </si>
  <si>
    <t xml:space="preserve">1 L</t>
  </si>
  <si>
    <t xml:space="preserve">Price from 1 Oct check.</t>
  </si>
  <si>
    <t xml:space="preserve">https://twinliquors.com/</t>
  </si>
  <si>
    <t xml:space="preserve">Bols Triple Sec</t>
  </si>
  <si>
    <t xml:space="preserve">https://twinliquors.com/shop/product/bols-liqueur-triple-sec-/56dd1c1a69702d1873930000</t>
  </si>
  <si>
    <t xml:space="preserve">Patrón Citrónge</t>
  </si>
  <si>
    <t xml:space="preserve">Upgrade.</t>
  </si>
  <si>
    <t xml:space="preserve">https://twinliquors.com/shop/product/patron-citronge-orange/56cacd1575627527c4200100</t>
  </si>
  <si>
    <t xml:space="preserve">Exotico Blanco tequila</t>
  </si>
  <si>
    <t xml:space="preserve">Familia Camarena Silver tequila</t>
  </si>
  <si>
    <t xml:space="preserve">Same price, smoother reputation.</t>
  </si>
  <si>
    <t xml:space="preserve">https://twinliquors.com/shop/product/camarena-silver-tequila/56c270ca75627570b0f00100</t>
  </si>
  <si>
    <t xml:space="preserve">Lunazul Blanco tequila</t>
  </si>
  <si>
    <t xml:space="preserve">https://twinliquors.com/shop/product/lunazul-blanco-tequila/56c3373a69702d27edbd0400</t>
  </si>
  <si>
    <t xml:space="preserve">Teremana Blanco tequila</t>
  </si>
  <si>
    <t xml:space="preserve">https://twinliquors.com/shop/product/teremana-blanco-tequila/5e696e9ce220be04a4e17255</t>
  </si>
  <si>
    <t xml:space="preserve">Artist</t>
  </si>
  <si>
    <t xml:space="preserve">Jinro Chamisul Fresh soju</t>
  </si>
  <si>
    <t xml:space="preserve">For he/they. Out of stock at Round Rock on 5 Oct.</t>
  </si>
  <si>
    <t xml:space="preserve">https://twinliquors.com/shop/product/jinro-chamisul-fresh-soju/5d39f1e6ec27b513fd255b65</t>
  </si>
  <si>
    <t xml:space="preserve">BeatBox Party Box variety</t>
  </si>
  <si>
    <t xml:space="preserve">6 × 500 ml</t>
  </si>
  <si>
    <t xml:space="preserve">Wine/malt based: sold at H-E-B.</t>
  </si>
  <si>
    <t xml:space="preserve">https://www.heb.com/product-detail/beatbox-party-box-variety-pack/5508020</t>
  </si>
  <si>
    <t xml:space="preserve">BeatBox single</t>
  </si>
  <si>
    <t xml:space="preserve">500 ml</t>
  </si>
  <si>
    <t xml:space="preserve">https://www.walmart.com/ip/BeatBox-Fruit-Punch-Party-Punch-Cocktail-11-1-ABV-500ml-Tetra/705837624</t>
  </si>
  <si>
    <t xml:space="preserve">Cutwater Lime Margarita</t>
  </si>
  <si>
    <t xml:space="preserve">4 × 12 oz</t>
  </si>
  <si>
    <t xml:space="preserve">Spirit based: liquor store only.</t>
  </si>
  <si>
    <t xml:space="preserve">https://twinliquors.com/shop/product/cutwater-lime-margarita-4pk-12oz-cans/5aee1ad65065c128fd3529da</t>
  </si>
  <si>
    <t xml:space="preserve">BuzzBallz Biggie Chiller</t>
  </si>
  <si>
    <t xml:space="preserve">1.5 L</t>
  </si>
  <si>
    <t xml:space="preserve">Wine based: H-E-B.</t>
  </si>
  <si>
    <t xml:space="preserve">https://www.heb.com/product-detail/buzzballz-biggies-berry-cherry-limeade-large-chiller/15320037</t>
  </si>
  <si>
    <t xml:space="preserve">BuzzBallz Chiller single</t>
  </si>
  <si>
    <t xml:space="preserve">187 ml</t>
  </si>
  <si>
    <t xml:space="preserve">ABV assumed 15%.</t>
  </si>
  <si>
    <t xml:space="preserve">https://www.heb.com/product-detail/buzzballz-sour-apple-chiller/2787503</t>
  </si>
  <si>
    <t xml:space="preserve">BuzzBallz Strawberry Rita</t>
  </si>
  <si>
    <t xml:space="preserve">200 ml</t>
  </si>
  <si>
    <t xml:space="preserve">Spirit based. ABV assumed 15%.</t>
  </si>
  <si>
    <t xml:space="preserve">https://twinliquors.com/shop/product/buzzballz-rtd-strawberry-rita/573f9d5969702d34f5453500</t>
  </si>
  <si>
    <t xml:space="preserve">High Noon vodka seltzer</t>
  </si>
  <si>
    <t xml:space="preserve">8 × 12 oz</t>
  </si>
  <si>
    <t xml:space="preserve">Spirit based. ABV assumed 4.5%.</t>
  </si>
  <si>
    <t xml:space="preserve">https://twinliquors.com/shop/product/high-noon-sun-sips-tropical-variety-pack-rtd-cocktail-cans/607de70b40603747fe45e498</t>
  </si>
  <si>
    <t xml:space="preserve">Miller Lite</t>
  </si>
  <si>
    <t xml:space="preserve">30 × 12 oz</t>
  </si>
  <si>
    <t xml:space="preserve">Marked down from $32.49. H-E-B $25.27.</t>
  </si>
  <si>
    <t xml:space="preserve">https://www.walmart.com/ip/Miller-Lite-Beer-30-Pack-12-fl-oz-Aluminum-Cans-4-2-ABV-Domestic-Light-Lager/10984520</t>
  </si>
  <si>
    <t xml:space="preserve">Lone Star</t>
  </si>
  <si>
    <t xml:space="preserve">ABV assumed 4.65%.</t>
  </si>
  <si>
    <t xml:space="preserve">https://www.heb.com/product-detail/lone-star-texas-beer-30-pk-cans/11448020</t>
  </si>
  <si>
    <t xml:space="preserve">Michelob Ultra</t>
  </si>
  <si>
    <t xml:space="preserve">https://www.heb.com/product-detail/michelob-ultra-superior-light-lager-beer-cans-30-pack-12-oz/1484389</t>
  </si>
  <si>
    <t xml:space="preserve">Modelo Especial</t>
  </si>
  <si>
    <t xml:space="preserve">24 × 12 oz</t>
  </si>
  <si>
    <t xml:space="preserve">ABV assumed 4.4%.</t>
  </si>
  <si>
    <t xml:space="preserve">https://www.heb.com/product-detail/modelo-especial-mexican-lager-import-beer-24-pk-cans/1610273</t>
  </si>
  <si>
    <t xml:space="preserve">White Claw variety</t>
  </si>
  <si>
    <t xml:space="preserve">https://www.heb.com/product-detail/white-claw-hard-seltzer-variety-24-pk-cans/3758568</t>
  </si>
  <si>
    <t xml:space="preserve">White Claw variety (12)</t>
  </si>
  <si>
    <t xml:space="preserve">12 × 12 oz</t>
  </si>
  <si>
    <t xml:space="preserve">https://www.heb.com/product-detail/white-claw-hard-seltzer-hard-seltzer-variety-pack-12-pk-cans-flavor-collection-no-2/3758566</t>
  </si>
  <si>
    <t xml:space="preserve">Truly Originals variety</t>
  </si>
  <si>
    <t xml:space="preserve">https://www.heb.com/product-detail/truly-hard-seltzer-originals-variety-24-pk-cans/3495514</t>
  </si>
  <si>
    <t xml:space="preserve">Topo Chico Hard Seltzer variety</t>
  </si>
  <si>
    <t xml:space="preserve">https://www.heb.com/product-detail/topo-chico-hard-seltzer-variety-24-pk-cans/6327581</t>
  </si>
  <si>
    <t xml:space="preserve">Notes &amp; sources</t>
  </si>
  <si>
    <t xml:space="preserve">Standard drink: 0.6 oz (14 g) of pure alcohol, the US definition. Standard drinks = volume (oz) × ABV ÷ 0.6.</t>
  </si>
  <si>
    <t xml:space="preserve">Prices checked online 5 Oct 2026, before tax. Twin Liquors = Round Rock (Palm Valley) store; some H-E-B pages showed a non-Austin default store. Spec's, Total Wine and Costco didn't show Austin prices online.</t>
  </si>
  <si>
    <t xml:space="preserve">ABV marked with a cell comment was not on the product page; a typical value was assumed.</t>
  </si>
  <si>
    <t xml:space="preserve">Texas: only package stores sell spirits and spirit-based canned cocktails (Cutwater, High Noon, BuzzBallz Cocktails). Grocery stores sell beer, wine and wine/malt drinks (BeatBox, BuzzBallz Chillers, White Claw).</t>
  </si>
  <si>
    <t xml:space="preserve">Everclear is 95% alcohol: measure with a jigger, never serve as shots, keep away from candles and the smokers. Only the bar person handles it.</t>
  </si>
  <si>
    <t xml:space="preserve">No selling, no collection, IDs checked for anyone drinking. Water and food out all night; rides home only.</t>
  </si>
  <si>
    <t xml:space="preserve">TABC package store hours: https://www.tabc.texas.gov/static/sites/default/files/2021-08/package-store-p-and-local-distributor-lp-off-premise-retailers-lc_0.pdf</t>
  </si>
  <si>
    <t xml:space="preserve">Product links for every price are in the Source column of Price Compare and in cell comments on the Shopping List.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</si>
</sst>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"/>
    <numFmt numFmtId="167" formatCode="0.0%;\(0.0%\);\-"/>
    <numFmt numFmtId="168" formatCode="#,##0.0;\(#,##0.0\);\-"/>
    <numFmt numFmtId="169" formatCode="\$#,##0.00;&quot;($&quot;#,##0.00\);\-"/>
    <numFmt numFmtId="170" formatCode="0"/>
    <numFmt numFmtId="171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2"/>
      <charset val="1"/>
    </font>
    <font>
      <i val="true"/>
      <sz val="10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10"/>
      <color rgb="FF6B7280"/>
      <name val="Arial"/>
      <family val="0"/>
      <charset val="1"/>
    </font>
    <font>
      <u val="single"/>
      <sz val="10"/>
      <color rgb="FF1D4ED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twinliquors.com/shop/product/everclear-190/56caaf6e7562752ed5441600" TargetMode="External"/><Relationship Id="rId3" Type="http://schemas.openxmlformats.org/officeDocument/2006/relationships/hyperlink" Target="https://twinliquors.com/shop/product/everclear-190/56caaf777562752ed5461600" TargetMode="External"/><Relationship Id="rId4" Type="http://schemas.openxmlformats.org/officeDocument/2006/relationships/hyperlink" Target="https://twinliquors.com/shop/product/svedka-80-proof-vodka/564bd7e469702d5e6e6e0000" TargetMode="External"/><Relationship Id="rId5" Type="http://schemas.openxmlformats.org/officeDocument/2006/relationships/hyperlink" Target="https://twinliquors.com/shop/product/smirnoff-80-proof-vodka/5521cef66561310003380200" TargetMode="External"/><Relationship Id="rId6" Type="http://schemas.openxmlformats.org/officeDocument/2006/relationships/hyperlink" Target="https://twinliquors.com/shop/product/new-amsterdam-80-proof-vodka/5521cef46561310003d70100" TargetMode="External"/><Relationship Id="rId7" Type="http://schemas.openxmlformats.org/officeDocument/2006/relationships/hyperlink" Target="https://twinliquors.com/shop/product/wolfschmidt-80-proof-vodka/587d3b70bfb24113b11b0173" TargetMode="External"/><Relationship Id="rId8" Type="http://schemas.openxmlformats.org/officeDocument/2006/relationships/hyperlink" Target="https://twinliquors.com/shop/product/western-son-vodka/5967142912f2fb071587e708" TargetMode="External"/><Relationship Id="rId9" Type="http://schemas.openxmlformats.org/officeDocument/2006/relationships/hyperlink" Target="https://twinliquors.com/shop/product/deep-eddy-vodka-original/56caaaf37562752ed5ba1500" TargetMode="External"/><Relationship Id="rId10" Type="http://schemas.openxmlformats.org/officeDocument/2006/relationships/hyperlink" Target="https://twinliquors.com/shop/product/titos-handmade-vodka/564bd96269702d5e977a0100" TargetMode="External"/><Relationship Id="rId11" Type="http://schemas.openxmlformats.org/officeDocument/2006/relationships/hyperlink" Target="https://twinliquors.com/shop/product/absolut-vodka/618e7c297f9199660f0132b8" TargetMode="External"/><Relationship Id="rId12" Type="http://schemas.openxmlformats.org/officeDocument/2006/relationships/hyperlink" Target="https://twinliquors.com/shop/product/bacardi-superior-rum/587e15d239e21c07b160de8c" TargetMode="External"/><Relationship Id="rId13" Type="http://schemas.openxmlformats.org/officeDocument/2006/relationships/hyperlink" Target="https://twinliquors.com/" TargetMode="External"/><Relationship Id="rId14" Type="http://schemas.openxmlformats.org/officeDocument/2006/relationships/hyperlink" Target="https://twinliquors.com/shop/product/bols-liqueur-triple-sec-/56dd1c1a69702d1873930000" TargetMode="External"/><Relationship Id="rId15" Type="http://schemas.openxmlformats.org/officeDocument/2006/relationships/hyperlink" Target="https://twinliquors.com/shop/product/patron-citronge-orange/56cacd1575627527c4200100" TargetMode="External"/><Relationship Id="rId16" Type="http://schemas.openxmlformats.org/officeDocument/2006/relationships/hyperlink" Target="https://twinliquors.com/" TargetMode="External"/><Relationship Id="rId17" Type="http://schemas.openxmlformats.org/officeDocument/2006/relationships/hyperlink" Target="https://twinliquors.com/shop/product/camarena-silver-tequila/56c270ca75627570b0f00100" TargetMode="External"/><Relationship Id="rId18" Type="http://schemas.openxmlformats.org/officeDocument/2006/relationships/hyperlink" Target="https://twinliquors.com/shop/product/lunazul-blanco-tequila/56c3373a69702d27edbd0400" TargetMode="External"/><Relationship Id="rId19" Type="http://schemas.openxmlformats.org/officeDocument/2006/relationships/hyperlink" Target="https://twinliquors.com/shop/product/teremana-blanco-tequila/5e696e9ce220be04a4e17255" TargetMode="External"/><Relationship Id="rId20" Type="http://schemas.openxmlformats.org/officeDocument/2006/relationships/hyperlink" Target="https://twinliquors.com/shop/product/jinro-chamisul-fresh-soju/5d39f1e6ec27b513fd255b65" TargetMode="External"/><Relationship Id="rId21" Type="http://schemas.openxmlformats.org/officeDocument/2006/relationships/hyperlink" Target="https://www.heb.com/product-detail/beatbox-party-box-variety-pack/5508020" TargetMode="External"/><Relationship Id="rId22" Type="http://schemas.openxmlformats.org/officeDocument/2006/relationships/hyperlink" Target="https://www.walmart.com/ip/BeatBox-Fruit-Punch-Party-Punch-Cocktail-11-1-ABV-500ml-Tetra/705837624" TargetMode="External"/><Relationship Id="rId23" Type="http://schemas.openxmlformats.org/officeDocument/2006/relationships/hyperlink" Target="https://twinliquors.com/shop/product/cutwater-lime-margarita-4pk-12oz-cans/5aee1ad65065c128fd3529da" TargetMode="External"/><Relationship Id="rId24" Type="http://schemas.openxmlformats.org/officeDocument/2006/relationships/hyperlink" Target="https://www.heb.com/product-detail/buzzballz-biggies-berry-cherry-limeade-large-chiller/15320037" TargetMode="External"/><Relationship Id="rId25" Type="http://schemas.openxmlformats.org/officeDocument/2006/relationships/hyperlink" Target="https://www.heb.com/product-detail/buzzballz-sour-apple-chiller/2787503" TargetMode="External"/><Relationship Id="rId26" Type="http://schemas.openxmlformats.org/officeDocument/2006/relationships/hyperlink" Target="https://twinliquors.com/shop/product/buzzballz-rtd-strawberry-rita/573f9d5969702d34f5453500" TargetMode="External"/><Relationship Id="rId27" Type="http://schemas.openxmlformats.org/officeDocument/2006/relationships/hyperlink" Target="https://twinliquors.com/shop/product/high-noon-sun-sips-tropical-variety-pack-rtd-cocktail-cans/607de70b40603747fe45e498" TargetMode="External"/><Relationship Id="rId28" Type="http://schemas.openxmlformats.org/officeDocument/2006/relationships/hyperlink" Target="https://www.walmart.com/ip/Miller-Lite-Beer-30-Pack-12-fl-oz-Aluminum-Cans-4-2-ABV-Domestic-Light-Lager/10984520" TargetMode="External"/><Relationship Id="rId29" Type="http://schemas.openxmlformats.org/officeDocument/2006/relationships/hyperlink" Target="https://www.heb.com/product-detail/lone-star-texas-beer-30-pk-cans/11448020" TargetMode="External"/><Relationship Id="rId30" Type="http://schemas.openxmlformats.org/officeDocument/2006/relationships/hyperlink" Target="https://www.heb.com/product-detail/michelob-ultra-superior-light-lager-beer-cans-30-pack-12-oz/1484389" TargetMode="External"/><Relationship Id="rId31" Type="http://schemas.openxmlformats.org/officeDocument/2006/relationships/hyperlink" Target="https://www.heb.com/product-detail/modelo-especial-mexican-lager-import-beer-24-pk-cans/1610273" TargetMode="External"/><Relationship Id="rId32" Type="http://schemas.openxmlformats.org/officeDocument/2006/relationships/hyperlink" Target="https://www.heb.com/product-detail/white-claw-hard-seltzer-variety-24-pk-cans/3758568" TargetMode="External"/><Relationship Id="rId33" Type="http://schemas.openxmlformats.org/officeDocument/2006/relationships/hyperlink" Target="https://www.heb.com/product-detail/white-claw-hard-seltzer-hard-seltzer-variety-pack-12-pk-cans-flavor-collection-no-2/3758566" TargetMode="External"/><Relationship Id="rId34" Type="http://schemas.openxmlformats.org/officeDocument/2006/relationships/hyperlink" Target="https://www.heb.com/product-detail/truly-hard-seltzer-originals-variety-24-pk-cans/3495514" TargetMode="External"/><Relationship Id="rId35" Type="http://schemas.openxmlformats.org/officeDocument/2006/relationships/hyperlink" Target="https://www.heb.com/product-detail/topo-chico-hard-seltzer-variety-24-pk-cans/6327581" TargetMode="External"/><Relationship Id="rId36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4" t="s">
        <v>2</v>
      </c>
      <c r="B4" s="2"/>
      <c r="C4" s="2"/>
    </row>
    <row r="5" customFormat="false" ht="15" hidden="false" customHeight="false" outlineLevel="0" collapsed="false">
      <c r="A5" s="2" t="s">
        <v>3</v>
      </c>
      <c r="B5" s="5" t="n">
        <v>70</v>
      </c>
      <c r="C5" s="2"/>
    </row>
    <row r="6" customFormat="false" ht="15" hidden="false" customHeight="false" outlineLevel="0" collapsed="false">
      <c r="A6" s="2" t="s">
        <v>4</v>
      </c>
      <c r="B6" s="5" t="n">
        <v>60</v>
      </c>
      <c r="C6" s="2"/>
    </row>
    <row r="7" customFormat="false" ht="15" hidden="false" customHeight="false" outlineLevel="0" collapsed="false">
      <c r="A7" s="2" t="s">
        <v>5</v>
      </c>
      <c r="B7" s="6" t="n">
        <v>3</v>
      </c>
      <c r="C7" s="2"/>
    </row>
    <row r="8" customFormat="false" ht="15" hidden="false" customHeight="false" outlineLevel="0" collapsed="false">
      <c r="A8" s="2" t="s">
        <v>6</v>
      </c>
      <c r="B8" s="7" t="n">
        <v>0.15</v>
      </c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4" t="s">
        <v>7</v>
      </c>
      <c r="B10" s="2"/>
      <c r="C10" s="2"/>
    </row>
    <row r="11" customFormat="false" ht="15" hidden="false" customHeight="false" outlineLevel="0" collapsed="false">
      <c r="A11" s="2" t="s">
        <v>8</v>
      </c>
      <c r="B11" s="8" t="n">
        <f aca="false">B6*B7*(1+B8)</f>
        <v>207</v>
      </c>
      <c r="C11" s="2"/>
    </row>
    <row r="12" customFormat="false" ht="15" hidden="false" customHeight="false" outlineLevel="0" collapsed="false">
      <c r="A12" s="2" t="s">
        <v>9</v>
      </c>
      <c r="B12" s="8" t="n">
        <f aca="false">'Shopping List'!L21</f>
        <v>218.067333333333</v>
      </c>
      <c r="C12" s="2"/>
    </row>
    <row r="13" customFormat="false" ht="15" hidden="false" customHeight="false" outlineLevel="0" collapsed="false">
      <c r="A13" s="2" t="s">
        <v>10</v>
      </c>
      <c r="B13" s="9" t="n">
        <f aca="false">IFERROR(B12/B6,0)</f>
        <v>3.63445555555556</v>
      </c>
      <c r="C13" s="2"/>
    </row>
    <row r="14" customFormat="false" ht="15" hidden="false" customHeight="false" outlineLevel="0" collapsed="false">
      <c r="A14" s="2" t="s">
        <v>11</v>
      </c>
      <c r="B14" s="10" t="str">
        <f aca="false">IF(B12&gt;=B11,"Enough",IF(B12&gt;=B6*B7,"Enough, no buffer","Short by "&amp;TEXT(B11-B12,"0")&amp;" drinks"))</f>
        <v>Enough</v>
      </c>
      <c r="C14" s="2"/>
    </row>
    <row r="15" customFormat="false" ht="15" hidden="false" customHeight="false" outlineLevel="0" collapsed="false">
      <c r="A15" s="2"/>
      <c r="B15" s="2"/>
      <c r="C15" s="2"/>
    </row>
    <row r="16" customFormat="false" ht="15" hidden="false" customHeight="false" outlineLevel="0" collapsed="false">
      <c r="A16" s="4" t="s">
        <v>12</v>
      </c>
      <c r="B16" s="2"/>
      <c r="C16" s="2"/>
    </row>
    <row r="17" customFormat="false" ht="15" hidden="false" customHeight="false" outlineLevel="0" collapsed="false">
      <c r="A17" s="2" t="s">
        <v>13</v>
      </c>
      <c r="B17" s="11" t="n">
        <f aca="false">'Shopping List'!I21</f>
        <v>320.8</v>
      </c>
      <c r="C17" s="2"/>
    </row>
    <row r="18" customFormat="false" ht="15" hidden="false" customHeight="false" outlineLevel="0" collapsed="false">
      <c r="A18" s="2" t="s">
        <v>14</v>
      </c>
      <c r="B18" s="11" t="n">
        <f aca="false">'Shopping List'!M21</f>
        <v>1.47110525495183</v>
      </c>
      <c r="C18" s="2"/>
    </row>
    <row r="19" customFormat="false" ht="15" hidden="false" customHeight="false" outlineLevel="0" collapsed="false">
      <c r="A19" s="2" t="s">
        <v>15</v>
      </c>
      <c r="B19" s="12" t="n">
        <f aca="false">IFERROR(B17/B5,0)</f>
        <v>4.58285714285714</v>
      </c>
      <c r="C19" s="2"/>
    </row>
    <row r="20" customFormat="false" ht="15" hidden="false" customHeight="false" outlineLevel="0" collapsed="false">
      <c r="A20" s="2"/>
      <c r="B20" s="2"/>
      <c r="C20" s="2"/>
    </row>
    <row r="21" customFormat="false" ht="15" hidden="false" customHeight="false" outlineLevel="0" collapsed="false">
      <c r="A21" s="4" t="s">
        <v>16</v>
      </c>
      <c r="B21" s="2"/>
      <c r="C21" s="2"/>
    </row>
    <row r="22" customFormat="false" ht="15" hidden="false" customHeight="false" outlineLevel="0" collapsed="false">
      <c r="A22" s="13" t="s">
        <v>17</v>
      </c>
      <c r="B22" s="5" t="n">
        <v>6</v>
      </c>
      <c r="C22" s="2"/>
    </row>
    <row r="23" customFormat="false" ht="15" hidden="false" customHeight="false" outlineLevel="0" collapsed="false">
      <c r="A23" s="13" t="s">
        <v>18</v>
      </c>
      <c r="B23" s="14" t="n">
        <v>176</v>
      </c>
      <c r="C23" s="2"/>
    </row>
    <row r="24" customFormat="false" ht="15" hidden="false" customHeight="false" outlineLevel="0" collapsed="false">
      <c r="A24" s="10" t="s">
        <v>19</v>
      </c>
      <c r="B24" s="15" t="n">
        <f aca="false">B22*B23</f>
        <v>1056</v>
      </c>
      <c r="C24" s="2"/>
    </row>
    <row r="25" customFormat="false" ht="15" hidden="false" customHeight="false" outlineLevel="0" collapsed="false">
      <c r="A25" s="13" t="s">
        <v>20</v>
      </c>
      <c r="B25" s="14" t="n">
        <v>300</v>
      </c>
      <c r="C25" s="2"/>
    </row>
    <row r="26" customFormat="false" ht="15" hidden="false" customHeight="false" outlineLevel="0" collapsed="false">
      <c r="A26" s="13" t="s">
        <v>21</v>
      </c>
      <c r="B26" s="16" t="n">
        <f aca="false">B17</f>
        <v>320.8</v>
      </c>
      <c r="C26" s="2"/>
    </row>
    <row r="27" customFormat="false" ht="15" hidden="false" customHeight="false" outlineLevel="0" collapsed="false">
      <c r="A27" s="13" t="s">
        <v>22</v>
      </c>
      <c r="B27" s="14" t="n">
        <v>153</v>
      </c>
      <c r="C27" s="2"/>
    </row>
    <row r="28" customFormat="false" ht="15" hidden="false" customHeight="false" outlineLevel="0" collapsed="false">
      <c r="A28" s="13" t="s">
        <v>23</v>
      </c>
      <c r="B28" s="14" t="n">
        <v>45</v>
      </c>
      <c r="C28" s="2" t="s">
        <v>24</v>
      </c>
    </row>
    <row r="29" customFormat="false" ht="15" hidden="false" customHeight="false" outlineLevel="0" collapsed="false">
      <c r="A29" s="13" t="s">
        <v>25</v>
      </c>
      <c r="B29" s="14" t="n">
        <v>0</v>
      </c>
      <c r="C29" s="2" t="s">
        <v>26</v>
      </c>
    </row>
    <row r="30" customFormat="false" ht="15" hidden="false" customHeight="false" outlineLevel="0" collapsed="false">
      <c r="A30" s="13" t="s">
        <v>27</v>
      </c>
      <c r="B30" s="14" t="n">
        <v>0</v>
      </c>
      <c r="C30" s="2"/>
    </row>
    <row r="31" customFormat="false" ht="15" hidden="false" customHeight="false" outlineLevel="0" collapsed="false">
      <c r="A31" s="10" t="s">
        <v>28</v>
      </c>
      <c r="B31" s="15" t="n">
        <f aca="false">B24-SUM(B25:B30)</f>
        <v>237.2</v>
      </c>
      <c r="C31" s="2"/>
    </row>
    <row r="32" customFormat="false" ht="15" hidden="false" customHeight="false" outlineLevel="0" collapsed="false">
      <c r="A32" s="2"/>
      <c r="B32" s="2"/>
      <c r="C32" s="2"/>
    </row>
    <row r="33" customFormat="false" ht="15" hidden="false" customHeight="false" outlineLevel="0" collapsed="false">
      <c r="A33" s="4" t="s">
        <v>29</v>
      </c>
      <c r="B33" s="2"/>
      <c r="C33" s="2"/>
    </row>
    <row r="34" customFormat="false" ht="15" hidden="false" customHeight="false" outlineLevel="0" collapsed="false">
      <c r="A34" s="2" t="s">
        <v>30</v>
      </c>
      <c r="B34" s="2"/>
      <c r="C34" s="2"/>
    </row>
    <row r="35" customFormat="false" ht="15" hidden="false" customHeight="false" outlineLevel="0" collapsed="false">
      <c r="A35" s="2" t="s">
        <v>31</v>
      </c>
      <c r="B35" s="2"/>
      <c r="C35" s="2"/>
    </row>
    <row r="36" customFormat="false" ht="15" hidden="false" customHeight="false" outlineLevel="0" collapsed="false">
      <c r="A36" s="2" t="s">
        <v>32</v>
      </c>
      <c r="B36" s="2"/>
      <c r="C36" s="2"/>
    </row>
    <row r="37" customFormat="false" ht="15" hidden="false" customHeight="false" outlineLevel="0" collapsed="false">
      <c r="A37" s="2" t="s">
        <v>33</v>
      </c>
      <c r="B37" s="2"/>
      <c r="C3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9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10" min="8" style="0" width="11"/>
    <col collapsed="false" customWidth="true" hidden="false" outlineLevel="0" max="11" min="11" style="0" width="9"/>
    <col collapsed="false" customWidth="true" hidden="false" outlineLevel="0" max="12" min="12" style="0" width="11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" t="s">
        <v>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23.85" hidden="false" customHeight="false" outlineLevel="0" collapsed="false">
      <c r="A4" s="17" t="s">
        <v>36</v>
      </c>
      <c r="B4" s="17" t="s">
        <v>37</v>
      </c>
      <c r="C4" s="17" t="s">
        <v>38</v>
      </c>
      <c r="D4" s="17" t="s">
        <v>39</v>
      </c>
      <c r="E4" s="17" t="s">
        <v>40</v>
      </c>
      <c r="F4" s="17" t="s">
        <v>41</v>
      </c>
      <c r="G4" s="17" t="s">
        <v>42</v>
      </c>
      <c r="H4" s="17" t="s">
        <v>43</v>
      </c>
      <c r="I4" s="17" t="s">
        <v>12</v>
      </c>
      <c r="J4" s="17" t="s">
        <v>44</v>
      </c>
      <c r="K4" s="17" t="s">
        <v>45</v>
      </c>
      <c r="L4" s="17" t="s">
        <v>46</v>
      </c>
      <c r="M4" s="17" t="s">
        <v>47</v>
      </c>
    </row>
    <row r="5" customFormat="false" ht="15" hidden="false" customHeight="false" outlineLevel="0" collapsed="false">
      <c r="A5" s="18" t="str">
        <f aca="false">Punch!B6&amp;" (1.75 L or as listed)"</f>
        <v>Everclear 190 (1.75 L or as listed)</v>
      </c>
      <c r="B5" s="18" t="str">
        <f aca="false">INDEX('Price Compare'!$C$5:$C$38,MATCH(Punch!B6,'Price Compare'!$B$5:$B$38,0))</f>
        <v>Twin Liquors (Round Rock)</v>
      </c>
      <c r="C5" s="19" t="s">
        <v>48</v>
      </c>
      <c r="D5" s="20" t="n">
        <v>1</v>
      </c>
      <c r="E5" s="21" t="n">
        <f aca="false">Punch!B13</f>
        <v>59.2</v>
      </c>
      <c r="F5" s="22" t="n">
        <f aca="false">Punch!B12</f>
        <v>0.95</v>
      </c>
      <c r="G5" s="23" t="n">
        <f aca="false">Punch!B32</f>
        <v>1</v>
      </c>
      <c r="H5" s="24" t="n">
        <f aca="false">Punch!B14</f>
        <v>37.99</v>
      </c>
      <c r="I5" s="25" t="n">
        <f aca="false">G5*H5</f>
        <v>37.99</v>
      </c>
      <c r="J5" s="26" t="n">
        <f aca="false">IF(D5="",0,G5*D5*E5*F5/0.6)</f>
        <v>93.7333333333333</v>
      </c>
      <c r="K5" s="19" t="s">
        <v>49</v>
      </c>
      <c r="L5" s="26" t="n">
        <f aca="false">Punch!B37</f>
        <v>100.5</v>
      </c>
      <c r="M5" s="25" t="n">
        <f aca="false">IFERROR(I5/J5,0)</f>
        <v>0.405298719772404</v>
      </c>
    </row>
    <row r="6" customFormat="false" ht="15" hidden="false" customHeight="false" outlineLevel="0" collapsed="false">
      <c r="A6" s="18" t="str">
        <f aca="false">'Price Compare'!B16</f>
        <v>DeKuyper Triple Sec</v>
      </c>
      <c r="B6" s="18" t="str">
        <f aca="false">'Price Compare'!C16</f>
        <v>Twin Liquors (Round Rock)</v>
      </c>
      <c r="C6" s="19" t="s">
        <v>48</v>
      </c>
      <c r="D6" s="20" t="n">
        <f aca="false">'Price Compare'!E16</f>
        <v>1</v>
      </c>
      <c r="E6" s="21" t="n">
        <f aca="false">'Price Compare'!F16</f>
        <v>33.8</v>
      </c>
      <c r="F6" s="22" t="n">
        <f aca="false">'Price Compare'!G16</f>
        <v>0.15</v>
      </c>
      <c r="G6" s="23" t="n">
        <f aca="false">Punch!B33</f>
        <v>1</v>
      </c>
      <c r="H6" s="24" t="n">
        <f aca="false">'Price Compare'!H16</f>
        <v>7.99</v>
      </c>
      <c r="I6" s="25" t="n">
        <f aca="false">G6*H6</f>
        <v>7.99</v>
      </c>
      <c r="J6" s="26" t="n">
        <f aca="false">IF(D6="",0,G6*D6*E6*F6/0.6)</f>
        <v>8.45</v>
      </c>
      <c r="K6" s="19" t="s">
        <v>50</v>
      </c>
      <c r="L6" s="26" t="n">
        <f aca="false">IF(K6="Y",J6,0)</f>
        <v>0</v>
      </c>
      <c r="M6" s="25" t="n">
        <f aca="false">IFERROR(I6/J6,0)</f>
        <v>0.945562130177515</v>
      </c>
    </row>
    <row r="7" customFormat="false" ht="15" hidden="false" customHeight="false" outlineLevel="0" collapsed="false">
      <c r="A7" s="18" t="str">
        <f aca="false">'Price Compare'!B19</f>
        <v>Exotico Blanco tequila</v>
      </c>
      <c r="B7" s="18" t="str">
        <f aca="false">'Price Compare'!C19</f>
        <v>Twin Liquors (Round Rock)</v>
      </c>
      <c r="C7" s="19" t="s">
        <v>51</v>
      </c>
      <c r="D7" s="20" t="n">
        <f aca="false">'Price Compare'!E19</f>
        <v>1</v>
      </c>
      <c r="E7" s="21" t="n">
        <f aca="false">'Price Compare'!F19</f>
        <v>25.4</v>
      </c>
      <c r="F7" s="22" t="n">
        <f aca="false">'Price Compare'!G19</f>
        <v>0.4</v>
      </c>
      <c r="G7" s="27" t="n">
        <v>1</v>
      </c>
      <c r="H7" s="24" t="n">
        <f aca="false">'Price Compare'!H19</f>
        <v>22.99</v>
      </c>
      <c r="I7" s="25" t="n">
        <f aca="false">G7*H7</f>
        <v>22.99</v>
      </c>
      <c r="J7" s="26" t="n">
        <f aca="false">IF(D7="",0,G7*D7*E7*F7/0.6)</f>
        <v>16.9333333333333</v>
      </c>
      <c r="K7" s="19" t="s">
        <v>49</v>
      </c>
      <c r="L7" s="26" t="n">
        <f aca="false">IF(K7="Y",J7,0)</f>
        <v>16.9333333333333</v>
      </c>
      <c r="M7" s="25" t="n">
        <f aca="false">IFERROR(I7/J7,0)</f>
        <v>1.35767716535433</v>
      </c>
    </row>
    <row r="8" customFormat="false" ht="15" hidden="false" customHeight="false" outlineLevel="0" collapsed="false">
      <c r="A8" s="18" t="str">
        <f aca="false">'Price Compare'!B23</f>
        <v>Jinro Chamisul Fresh soju</v>
      </c>
      <c r="B8" s="18" t="str">
        <f aca="false">'Price Compare'!C23</f>
        <v>Twin Liquors (Round Rock)</v>
      </c>
      <c r="C8" s="19" t="s">
        <v>52</v>
      </c>
      <c r="D8" s="20" t="n">
        <f aca="false">'Price Compare'!E23</f>
        <v>1</v>
      </c>
      <c r="E8" s="21" t="n">
        <f aca="false">'Price Compare'!F23</f>
        <v>25.4</v>
      </c>
      <c r="F8" s="22" t="n">
        <f aca="false">'Price Compare'!G23</f>
        <v>0.165</v>
      </c>
      <c r="G8" s="27" t="n">
        <v>1</v>
      </c>
      <c r="H8" s="24" t="n">
        <f aca="false">'Price Compare'!H23</f>
        <v>11.99</v>
      </c>
      <c r="I8" s="25" t="n">
        <f aca="false">G8*H8</f>
        <v>11.99</v>
      </c>
      <c r="J8" s="26" t="n">
        <f aca="false">IF(D8="",0,G8*D8*E8*F8/0.6)</f>
        <v>6.985</v>
      </c>
      <c r="K8" s="19" t="s">
        <v>50</v>
      </c>
      <c r="L8" s="26" t="n">
        <f aca="false">IF(K8="Y",J8,0)</f>
        <v>0</v>
      </c>
      <c r="M8" s="25" t="n">
        <f aca="false">IFERROR(I8/J8,0)</f>
        <v>1.71653543307087</v>
      </c>
    </row>
    <row r="9" customFormat="false" ht="15" hidden="false" customHeight="false" outlineLevel="0" collapsed="false">
      <c r="A9" s="18" t="str">
        <f aca="false">'Price Compare'!B31</f>
        <v>Miller Lite</v>
      </c>
      <c r="B9" s="18" t="str">
        <f aca="false">'Price Compare'!C31</f>
        <v>Walmart</v>
      </c>
      <c r="C9" s="19" t="s">
        <v>53</v>
      </c>
      <c r="D9" s="20" t="n">
        <f aca="false">'Price Compare'!E31</f>
        <v>30</v>
      </c>
      <c r="E9" s="21" t="n">
        <f aca="false">'Price Compare'!F31</f>
        <v>12</v>
      </c>
      <c r="F9" s="22" t="n">
        <f aca="false">'Price Compare'!G31</f>
        <v>0.042</v>
      </c>
      <c r="G9" s="27" t="n">
        <v>1</v>
      </c>
      <c r="H9" s="24" t="n">
        <f aca="false">'Price Compare'!H31</f>
        <v>24.67</v>
      </c>
      <c r="I9" s="25" t="n">
        <f aca="false">G9*H9</f>
        <v>24.67</v>
      </c>
      <c r="J9" s="26" t="n">
        <f aca="false">IF(D9="",0,G9*D9*E9*F9/0.6)</f>
        <v>25.2</v>
      </c>
      <c r="K9" s="19" t="s">
        <v>49</v>
      </c>
      <c r="L9" s="26" t="n">
        <f aca="false">IF(K9="Y",J9,0)</f>
        <v>25.2</v>
      </c>
      <c r="M9" s="25" t="n">
        <f aca="false">IFERROR(I9/J9,0)</f>
        <v>0.978968253968254</v>
      </c>
    </row>
    <row r="10" customFormat="false" ht="15" hidden="false" customHeight="false" outlineLevel="0" collapsed="false">
      <c r="A10" s="18" t="str">
        <f aca="false">'Price Compare'!B35</f>
        <v>White Claw variety</v>
      </c>
      <c r="B10" s="18" t="str">
        <f aca="false">'Price Compare'!C35</f>
        <v>H-E-B</v>
      </c>
      <c r="C10" s="19" t="s">
        <v>54</v>
      </c>
      <c r="D10" s="20" t="n">
        <f aca="false">'Price Compare'!E35</f>
        <v>24</v>
      </c>
      <c r="E10" s="21" t="n">
        <f aca="false">'Price Compare'!F35</f>
        <v>12</v>
      </c>
      <c r="F10" s="22" t="n">
        <f aca="false">'Price Compare'!G35</f>
        <v>0.05</v>
      </c>
      <c r="G10" s="27" t="n">
        <v>1</v>
      </c>
      <c r="H10" s="24" t="n">
        <f aca="false">'Price Compare'!H35</f>
        <v>29.87</v>
      </c>
      <c r="I10" s="25" t="n">
        <f aca="false">G10*H10</f>
        <v>29.87</v>
      </c>
      <c r="J10" s="26" t="n">
        <f aca="false">IF(D10="",0,G10*D10*E10*F10/0.6)</f>
        <v>24</v>
      </c>
      <c r="K10" s="19" t="s">
        <v>49</v>
      </c>
      <c r="L10" s="26" t="n">
        <f aca="false">IF(K10="Y",J10,0)</f>
        <v>24</v>
      </c>
      <c r="M10" s="25" t="n">
        <f aca="false">IFERROR(I10/J10,0)</f>
        <v>1.24458333333333</v>
      </c>
    </row>
    <row r="11" customFormat="false" ht="15" hidden="false" customHeight="false" outlineLevel="0" collapsed="false">
      <c r="A11" s="18" t="str">
        <f aca="false">'Price Compare'!B24</f>
        <v>BeatBox Party Box variety</v>
      </c>
      <c r="B11" s="18" t="str">
        <f aca="false">'Price Compare'!C24</f>
        <v>H-E-B</v>
      </c>
      <c r="C11" s="19" t="s">
        <v>55</v>
      </c>
      <c r="D11" s="20" t="n">
        <f aca="false">'Price Compare'!E24</f>
        <v>6</v>
      </c>
      <c r="E11" s="21" t="n">
        <f aca="false">'Price Compare'!F24</f>
        <v>16.9</v>
      </c>
      <c r="F11" s="22" t="n">
        <f aca="false">'Price Compare'!G24</f>
        <v>0.111</v>
      </c>
      <c r="G11" s="27" t="n">
        <v>1</v>
      </c>
      <c r="H11" s="24" t="n">
        <f aca="false">'Price Compare'!H24</f>
        <v>20.98</v>
      </c>
      <c r="I11" s="25" t="n">
        <f aca="false">G11*H11</f>
        <v>20.98</v>
      </c>
      <c r="J11" s="26" t="n">
        <f aca="false">IF(D11="",0,G11*D11*E11*F11/0.6)</f>
        <v>18.759</v>
      </c>
      <c r="K11" s="19" t="s">
        <v>49</v>
      </c>
      <c r="L11" s="26" t="n">
        <f aca="false">IF(K11="Y",J11,0)</f>
        <v>18.759</v>
      </c>
      <c r="M11" s="25" t="n">
        <f aca="false">IFERROR(I11/J11,0)</f>
        <v>1.11839650301189</v>
      </c>
    </row>
    <row r="12" customFormat="false" ht="15" hidden="false" customHeight="false" outlineLevel="0" collapsed="false">
      <c r="A12" s="18" t="str">
        <f aca="false">'Price Compare'!B26</f>
        <v>Cutwater Lime Margarita</v>
      </c>
      <c r="B12" s="18" t="str">
        <f aca="false">'Price Compare'!C26</f>
        <v>Twin Liquors (Round Rock)</v>
      </c>
      <c r="C12" s="19" t="s">
        <v>55</v>
      </c>
      <c r="D12" s="20" t="n">
        <f aca="false">'Price Compare'!E26</f>
        <v>4</v>
      </c>
      <c r="E12" s="21" t="n">
        <f aca="false">'Price Compare'!F26</f>
        <v>12</v>
      </c>
      <c r="F12" s="22" t="n">
        <f aca="false">'Price Compare'!G26</f>
        <v>0.125</v>
      </c>
      <c r="G12" s="27" t="n">
        <v>2</v>
      </c>
      <c r="H12" s="24" t="n">
        <f aca="false">'Price Compare'!H26</f>
        <v>12.99</v>
      </c>
      <c r="I12" s="25" t="n">
        <f aca="false">G12*H12</f>
        <v>25.98</v>
      </c>
      <c r="J12" s="26" t="n">
        <f aca="false">IF(D12="",0,G12*D12*E12*F12/0.6)</f>
        <v>20</v>
      </c>
      <c r="K12" s="19" t="s">
        <v>49</v>
      </c>
      <c r="L12" s="26" t="n">
        <f aca="false">IF(K12="Y",J12,0)</f>
        <v>20</v>
      </c>
      <c r="M12" s="25" t="n">
        <f aca="false">IFERROR(I12/J12,0)</f>
        <v>1.299</v>
      </c>
    </row>
    <row r="13" customFormat="false" ht="15" hidden="false" customHeight="false" outlineLevel="0" collapsed="false">
      <c r="A13" s="18" t="str">
        <f aca="false">'Price Compare'!B27</f>
        <v>BuzzBallz Biggie Chiller</v>
      </c>
      <c r="B13" s="18" t="str">
        <f aca="false">'Price Compare'!C27</f>
        <v>H-E-B</v>
      </c>
      <c r="C13" s="19" t="s">
        <v>55</v>
      </c>
      <c r="D13" s="20" t="n">
        <f aca="false">'Price Compare'!E27</f>
        <v>1</v>
      </c>
      <c r="E13" s="21" t="n">
        <f aca="false">'Price Compare'!F27</f>
        <v>50.7</v>
      </c>
      <c r="F13" s="22" t="n">
        <f aca="false">'Price Compare'!G27</f>
        <v>0.15</v>
      </c>
      <c r="G13" s="27" t="n">
        <v>1</v>
      </c>
      <c r="H13" s="24" t="n">
        <f aca="false">'Price Compare'!H27</f>
        <v>17.76</v>
      </c>
      <c r="I13" s="25" t="n">
        <f aca="false">G13*H13</f>
        <v>17.76</v>
      </c>
      <c r="J13" s="26" t="n">
        <f aca="false">IF(D13="",0,G13*D13*E13*F13/0.6)</f>
        <v>12.675</v>
      </c>
      <c r="K13" s="19" t="s">
        <v>49</v>
      </c>
      <c r="L13" s="26" t="n">
        <f aca="false">IF(K13="Y",J13,0)</f>
        <v>12.675</v>
      </c>
      <c r="M13" s="25" t="n">
        <f aca="false">IFERROR(I13/J13,0)</f>
        <v>1.40118343195266</v>
      </c>
    </row>
    <row r="14" customFormat="false" ht="15" hidden="false" customHeight="false" outlineLevel="0" collapsed="false">
      <c r="A14" s="19" t="s">
        <v>56</v>
      </c>
      <c r="B14" s="19" t="s">
        <v>57</v>
      </c>
      <c r="C14" s="19" t="s">
        <v>58</v>
      </c>
      <c r="D14" s="19"/>
      <c r="E14" s="19"/>
      <c r="F14" s="28" t="n">
        <v>0</v>
      </c>
      <c r="G14" s="23" t="n">
        <f aca="false">Punch!B34</f>
        <v>6</v>
      </c>
      <c r="H14" s="29" t="n">
        <v>4.28</v>
      </c>
      <c r="I14" s="25" t="n">
        <f aca="false">G14*H14</f>
        <v>25.68</v>
      </c>
      <c r="J14" s="26" t="n">
        <f aca="false">IF(D14="",0,G14*D14*E14*F14/0.6)</f>
        <v>0</v>
      </c>
      <c r="K14" s="19" t="s">
        <v>59</v>
      </c>
      <c r="L14" s="26" t="n">
        <f aca="false">IF(K14="Y",J14,0)</f>
        <v>0</v>
      </c>
      <c r="M14" s="25" t="n">
        <f aca="false">IFERROR(I14/J14,0)</f>
        <v>0</v>
      </c>
    </row>
    <row r="15" customFormat="false" ht="15" hidden="false" customHeight="false" outlineLevel="0" collapsed="false">
      <c r="A15" s="19" t="s">
        <v>60</v>
      </c>
      <c r="B15" s="19" t="s">
        <v>57</v>
      </c>
      <c r="C15" s="19" t="s">
        <v>58</v>
      </c>
      <c r="D15" s="19"/>
      <c r="E15" s="19"/>
      <c r="F15" s="28" t="n">
        <v>0</v>
      </c>
      <c r="G15" s="23" t="n">
        <f aca="false">Punch!B35</f>
        <v>88</v>
      </c>
      <c r="H15" s="29" t="n">
        <v>0.2</v>
      </c>
      <c r="I15" s="25" t="n">
        <f aca="false">G15*H15</f>
        <v>17.6</v>
      </c>
      <c r="J15" s="26" t="n">
        <f aca="false">IF(D15="",0,G15*D15*E15*F15/0.6)</f>
        <v>0</v>
      </c>
      <c r="K15" s="19" t="s">
        <v>59</v>
      </c>
      <c r="L15" s="26" t="n">
        <f aca="false">IF(K15="Y",J15,0)</f>
        <v>0</v>
      </c>
      <c r="M15" s="25" t="n">
        <f aca="false">IFERROR(I15/J15,0)</f>
        <v>0</v>
      </c>
    </row>
    <row r="16" customFormat="false" ht="15" hidden="false" customHeight="false" outlineLevel="0" collapsed="false">
      <c r="A16" s="19" t="s">
        <v>61</v>
      </c>
      <c r="B16" s="19" t="s">
        <v>57</v>
      </c>
      <c r="C16" s="19" t="s">
        <v>58</v>
      </c>
      <c r="D16" s="19"/>
      <c r="E16" s="19"/>
      <c r="F16" s="28" t="n">
        <v>0</v>
      </c>
      <c r="G16" s="23" t="n">
        <f aca="false">Punch!B36</f>
        <v>4</v>
      </c>
      <c r="H16" s="29" t="n">
        <v>1.78</v>
      </c>
      <c r="I16" s="25" t="n">
        <f aca="false">G16*H16</f>
        <v>7.12</v>
      </c>
      <c r="J16" s="26" t="n">
        <f aca="false">IF(D16="",0,G16*D16*E16*F16/0.6)</f>
        <v>0</v>
      </c>
      <c r="K16" s="19" t="s">
        <v>59</v>
      </c>
      <c r="L16" s="26" t="n">
        <f aca="false">IF(K16="Y",J16,0)</f>
        <v>0</v>
      </c>
      <c r="M16" s="25" t="n">
        <f aca="false">IFERROR(I16/J16,0)</f>
        <v>0</v>
      </c>
    </row>
    <row r="17" customFormat="false" ht="15" hidden="false" customHeight="false" outlineLevel="0" collapsed="false">
      <c r="A17" s="19" t="s">
        <v>62</v>
      </c>
      <c r="B17" s="19" t="s">
        <v>63</v>
      </c>
      <c r="C17" s="19" t="s">
        <v>64</v>
      </c>
      <c r="D17" s="19"/>
      <c r="E17" s="19"/>
      <c r="F17" s="28" t="n">
        <v>0</v>
      </c>
      <c r="G17" s="27" t="n">
        <v>20</v>
      </c>
      <c r="H17" s="29" t="n">
        <v>1.88</v>
      </c>
      <c r="I17" s="25" t="n">
        <f aca="false">G17*H17</f>
        <v>37.6</v>
      </c>
      <c r="J17" s="26" t="n">
        <f aca="false">IF(D17="",0,G17*D17*E17*F17/0.6)</f>
        <v>0</v>
      </c>
      <c r="K17" s="19" t="s">
        <v>59</v>
      </c>
      <c r="L17" s="26" t="n">
        <f aca="false">IF(K17="Y",J17,0)</f>
        <v>0</v>
      </c>
      <c r="M17" s="25" t="n">
        <f aca="false">IFERROR(I17/J17,0)</f>
        <v>0</v>
      </c>
    </row>
    <row r="18" customFormat="false" ht="15" hidden="false" customHeight="false" outlineLevel="0" collapsed="false">
      <c r="A18" s="19" t="s">
        <v>65</v>
      </c>
      <c r="B18" s="19" t="s">
        <v>57</v>
      </c>
      <c r="C18" s="19" t="s">
        <v>64</v>
      </c>
      <c r="D18" s="19"/>
      <c r="E18" s="19"/>
      <c r="F18" s="28" t="n">
        <v>0</v>
      </c>
      <c r="G18" s="27" t="n">
        <v>2</v>
      </c>
      <c r="H18" s="29" t="n">
        <v>3.27</v>
      </c>
      <c r="I18" s="25" t="n">
        <f aca="false">G18*H18</f>
        <v>6.54</v>
      </c>
      <c r="J18" s="26" t="n">
        <f aca="false">IF(D18="",0,G18*D18*E18*F18/0.6)</f>
        <v>0</v>
      </c>
      <c r="K18" s="19" t="s">
        <v>59</v>
      </c>
      <c r="L18" s="26" t="n">
        <f aca="false">IF(K18="Y",J18,0)</f>
        <v>0</v>
      </c>
      <c r="M18" s="25" t="n">
        <f aca="false">IFERROR(I18/J18,0)</f>
        <v>0</v>
      </c>
    </row>
    <row r="19" customFormat="false" ht="15" hidden="false" customHeight="false" outlineLevel="0" collapsed="false">
      <c r="A19" s="19" t="s">
        <v>66</v>
      </c>
      <c r="B19" s="19" t="s">
        <v>67</v>
      </c>
      <c r="C19" s="19" t="s">
        <v>64</v>
      </c>
      <c r="D19" s="19"/>
      <c r="E19" s="19"/>
      <c r="F19" s="28" t="n">
        <v>0</v>
      </c>
      <c r="G19" s="27" t="n">
        <v>2</v>
      </c>
      <c r="H19" s="29" t="n">
        <v>11.28</v>
      </c>
      <c r="I19" s="25" t="n">
        <f aca="false">G19*H19</f>
        <v>22.56</v>
      </c>
      <c r="J19" s="26" t="n">
        <f aca="false">IF(D19="",0,G19*D19*E19*F19/0.6)</f>
        <v>0</v>
      </c>
      <c r="K19" s="19" t="s">
        <v>59</v>
      </c>
      <c r="L19" s="26" t="n">
        <f aca="false">IF(K19="Y",J19,0)</f>
        <v>0</v>
      </c>
      <c r="M19" s="25" t="n">
        <f aca="false">IFERROR(I19/J19,0)</f>
        <v>0</v>
      </c>
    </row>
    <row r="20" customFormat="false" ht="15" hidden="false" customHeight="false" outlineLevel="0" collapsed="false">
      <c r="A20" s="19" t="s">
        <v>68</v>
      </c>
      <c r="B20" s="19" t="s">
        <v>57</v>
      </c>
      <c r="C20" s="19" t="s">
        <v>64</v>
      </c>
      <c r="D20" s="19"/>
      <c r="E20" s="19"/>
      <c r="F20" s="28" t="n">
        <v>0</v>
      </c>
      <c r="G20" s="27" t="n">
        <v>1</v>
      </c>
      <c r="H20" s="29" t="n">
        <v>3.48</v>
      </c>
      <c r="I20" s="25" t="n">
        <f aca="false">G20*H20</f>
        <v>3.48</v>
      </c>
      <c r="J20" s="26" t="n">
        <f aca="false">IF(D20="",0,G20*D20*E20*F20/0.6)</f>
        <v>0</v>
      </c>
      <c r="K20" s="19" t="s">
        <v>59</v>
      </c>
      <c r="L20" s="26" t="n">
        <f aca="false">IF(K20="Y",J20,0)</f>
        <v>0</v>
      </c>
      <c r="M20" s="25" t="n">
        <f aca="false">IFERROR(I20/J20,0)</f>
        <v>0</v>
      </c>
    </row>
    <row r="21" customFormat="false" ht="15" hidden="false" customHeight="false" outlineLevel="0" collapsed="false">
      <c r="A21" s="10" t="s">
        <v>69</v>
      </c>
      <c r="B21" s="2"/>
      <c r="C21" s="2"/>
      <c r="D21" s="2"/>
      <c r="E21" s="2"/>
      <c r="F21" s="2"/>
      <c r="G21" s="2"/>
      <c r="H21" s="2"/>
      <c r="I21" s="15" t="n">
        <f aca="false">SUM(I5:I20)</f>
        <v>320.8</v>
      </c>
      <c r="J21" s="30" t="n">
        <f aca="false">SUM(J5:J20)</f>
        <v>226.735666666667</v>
      </c>
      <c r="K21" s="2"/>
      <c r="L21" s="30" t="n">
        <f aca="false">SUM(L5:L20)</f>
        <v>218.067333333333</v>
      </c>
      <c r="M21" s="15" t="n">
        <f aca="false">IFERROR(I21/L21,0)</f>
        <v>1.47110525495183</v>
      </c>
    </row>
    <row r="22" customFormat="false" ht="15" hidden="false" customHeight="false" outlineLevel="0" collapsed="false">
      <c r="A22" s="3" t="s">
        <v>70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5" hidden="false" customHeight="false" outlineLevel="0" collapsed="false">
      <c r="A23" s="3" t="s">
        <v>71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5" hidden="false" customHeight="false" outlineLevel="0" collapsed="false">
      <c r="A25" s="4" t="s">
        <v>72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5" hidden="false" customHeight="false" outlineLevel="0" collapsed="false">
      <c r="A26" s="10" t="s">
        <v>38</v>
      </c>
      <c r="B26" s="2"/>
      <c r="C26" s="2"/>
      <c r="D26" s="2"/>
      <c r="E26" s="2"/>
      <c r="F26" s="2"/>
      <c r="G26" s="2"/>
      <c r="H26" s="2"/>
      <c r="I26" s="10" t="s">
        <v>12</v>
      </c>
      <c r="J26" s="2"/>
      <c r="K26" s="2"/>
      <c r="L26" s="10" t="s">
        <v>46</v>
      </c>
      <c r="M26" s="2"/>
    </row>
    <row r="27" customFormat="false" ht="15" hidden="false" customHeight="false" outlineLevel="0" collapsed="false">
      <c r="A27" s="2" t="s">
        <v>48</v>
      </c>
      <c r="B27" s="2"/>
      <c r="C27" s="2"/>
      <c r="D27" s="2"/>
      <c r="E27" s="2"/>
      <c r="F27" s="2"/>
      <c r="G27" s="2"/>
      <c r="H27" s="2"/>
      <c r="I27" s="16" t="n">
        <f aca="false">SUMIFS($I$5:$I$20,$C$5:$C$20,A27)</f>
        <v>45.98</v>
      </c>
      <c r="J27" s="2"/>
      <c r="K27" s="2"/>
      <c r="L27" s="31" t="n">
        <f aca="false">SUMIFS($L$5:$L$20,$C$5:$C$20,A27)</f>
        <v>100.5</v>
      </c>
      <c r="M27" s="2"/>
    </row>
    <row r="28" customFormat="false" ht="15" hidden="false" customHeight="false" outlineLevel="0" collapsed="false">
      <c r="A28" s="2" t="s">
        <v>58</v>
      </c>
      <c r="B28" s="2"/>
      <c r="C28" s="2"/>
      <c r="D28" s="2"/>
      <c r="E28" s="2"/>
      <c r="F28" s="2"/>
      <c r="G28" s="2"/>
      <c r="H28" s="2"/>
      <c r="I28" s="16" t="n">
        <f aca="false">SUMIFS($I$5:$I$20,$C$5:$C$20,A28)</f>
        <v>50.4</v>
      </c>
      <c r="J28" s="2"/>
      <c r="K28" s="2"/>
      <c r="L28" s="31" t="n">
        <f aca="false">SUMIFS($L$5:$L$20,$C$5:$C$20,A28)</f>
        <v>0</v>
      </c>
      <c r="M28" s="2"/>
    </row>
    <row r="29" customFormat="false" ht="15" hidden="false" customHeight="false" outlineLevel="0" collapsed="false">
      <c r="A29" s="2" t="s">
        <v>51</v>
      </c>
      <c r="B29" s="2"/>
      <c r="C29" s="2"/>
      <c r="D29" s="2"/>
      <c r="E29" s="2"/>
      <c r="F29" s="2"/>
      <c r="G29" s="2"/>
      <c r="H29" s="2"/>
      <c r="I29" s="16" t="n">
        <f aca="false">SUMIFS($I$5:$I$20,$C$5:$C$20,A29)</f>
        <v>22.99</v>
      </c>
      <c r="J29" s="2"/>
      <c r="K29" s="2"/>
      <c r="L29" s="31" t="n">
        <f aca="false">SUMIFS($L$5:$L$20,$C$5:$C$20,A29)</f>
        <v>16.9333333333333</v>
      </c>
      <c r="M29" s="2"/>
    </row>
    <row r="30" customFormat="false" ht="15" hidden="false" customHeight="false" outlineLevel="0" collapsed="false">
      <c r="A30" s="2" t="s">
        <v>53</v>
      </c>
      <c r="B30" s="2"/>
      <c r="C30" s="2"/>
      <c r="D30" s="2"/>
      <c r="E30" s="2"/>
      <c r="F30" s="2"/>
      <c r="G30" s="2"/>
      <c r="H30" s="2"/>
      <c r="I30" s="16" t="n">
        <f aca="false">SUMIFS($I$5:$I$20,$C$5:$C$20,A30)</f>
        <v>24.67</v>
      </c>
      <c r="J30" s="2"/>
      <c r="K30" s="2"/>
      <c r="L30" s="31" t="n">
        <f aca="false">SUMIFS($L$5:$L$20,$C$5:$C$20,A30)</f>
        <v>25.2</v>
      </c>
      <c r="M30" s="2"/>
    </row>
    <row r="31" customFormat="false" ht="15" hidden="false" customHeight="false" outlineLevel="0" collapsed="false">
      <c r="A31" s="2" t="s">
        <v>54</v>
      </c>
      <c r="B31" s="2"/>
      <c r="C31" s="2"/>
      <c r="D31" s="2"/>
      <c r="E31" s="2"/>
      <c r="F31" s="2"/>
      <c r="G31" s="2"/>
      <c r="H31" s="2"/>
      <c r="I31" s="16" t="n">
        <f aca="false">SUMIFS($I$5:$I$20,$C$5:$C$20,A31)</f>
        <v>29.87</v>
      </c>
      <c r="J31" s="2"/>
      <c r="K31" s="2"/>
      <c r="L31" s="31" t="n">
        <f aca="false">SUMIFS($L$5:$L$20,$C$5:$C$20,A31)</f>
        <v>24</v>
      </c>
      <c r="M31" s="2"/>
    </row>
    <row r="32" customFormat="false" ht="15" hidden="false" customHeight="false" outlineLevel="0" collapsed="false">
      <c r="A32" s="2" t="s">
        <v>55</v>
      </c>
      <c r="B32" s="2"/>
      <c r="C32" s="2"/>
      <c r="D32" s="2"/>
      <c r="E32" s="2"/>
      <c r="F32" s="2"/>
      <c r="G32" s="2"/>
      <c r="H32" s="2"/>
      <c r="I32" s="16" t="n">
        <f aca="false">SUMIFS($I$5:$I$20,$C$5:$C$20,A32)</f>
        <v>64.72</v>
      </c>
      <c r="J32" s="2"/>
      <c r="K32" s="2"/>
      <c r="L32" s="31" t="n">
        <f aca="false">SUMIFS($L$5:$L$20,$C$5:$C$20,A32)</f>
        <v>51.434</v>
      </c>
      <c r="M32" s="2"/>
    </row>
    <row r="33" customFormat="false" ht="15" hidden="false" customHeight="false" outlineLevel="0" collapsed="false">
      <c r="A33" s="2" t="s">
        <v>52</v>
      </c>
      <c r="B33" s="2"/>
      <c r="C33" s="2"/>
      <c r="D33" s="2"/>
      <c r="E33" s="2"/>
      <c r="F33" s="2"/>
      <c r="G33" s="2"/>
      <c r="H33" s="2"/>
      <c r="I33" s="16" t="n">
        <f aca="false">SUMIFS($I$5:$I$20,$C$5:$C$20,A33)</f>
        <v>11.99</v>
      </c>
      <c r="J33" s="2"/>
      <c r="K33" s="2"/>
      <c r="L33" s="31" t="n">
        <f aca="false">SUMIFS($L$5:$L$20,$C$5:$C$20,A33)</f>
        <v>0</v>
      </c>
      <c r="M33" s="2"/>
    </row>
    <row r="34" customFormat="false" ht="15" hidden="false" customHeight="false" outlineLevel="0" collapsed="false">
      <c r="A34" s="2" t="s">
        <v>64</v>
      </c>
      <c r="B34" s="2"/>
      <c r="C34" s="2"/>
      <c r="D34" s="2"/>
      <c r="E34" s="2"/>
      <c r="F34" s="2"/>
      <c r="G34" s="2"/>
      <c r="H34" s="2"/>
      <c r="I34" s="16" t="n">
        <f aca="false">SUMIFS($I$5:$I$20,$C$5:$C$20,A34)</f>
        <v>70.18</v>
      </c>
      <c r="J34" s="2"/>
      <c r="K34" s="2"/>
      <c r="L34" s="31" t="n">
        <f aca="false">SUMIFS($L$5:$L$20,$C$5:$C$20,A34)</f>
        <v>0</v>
      </c>
      <c r="M3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73</v>
      </c>
      <c r="B1" s="2"/>
      <c r="C1" s="2"/>
    </row>
    <row r="2" customFormat="false" ht="15" hidden="false" customHeight="false" outlineLevel="0" collapsed="false">
      <c r="A2" s="3" t="s">
        <v>74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0" t="s">
        <v>75</v>
      </c>
      <c r="B4" s="5" t="n">
        <v>6</v>
      </c>
      <c r="C4" s="32" t="s">
        <v>76</v>
      </c>
    </row>
    <row r="5" customFormat="false" ht="15" hidden="false" customHeight="false" outlineLevel="0" collapsed="false">
      <c r="A5" s="10" t="s">
        <v>77</v>
      </c>
      <c r="B5" s="5" t="n">
        <v>1</v>
      </c>
      <c r="C5" s="32"/>
    </row>
    <row r="6" customFormat="false" ht="15" hidden="false" customHeight="false" outlineLevel="0" collapsed="false">
      <c r="A6" s="10" t="s">
        <v>78</v>
      </c>
      <c r="B6" s="33" t="s">
        <v>79</v>
      </c>
      <c r="C6" s="32" t="s">
        <v>80</v>
      </c>
    </row>
    <row r="7" customFormat="false" ht="15" hidden="false" customHeight="false" outlineLevel="0" collapsed="false">
      <c r="A7" s="10" t="s">
        <v>81</v>
      </c>
      <c r="B7" s="6" t="n">
        <v>9.3</v>
      </c>
      <c r="C7" s="32" t="s">
        <v>82</v>
      </c>
    </row>
    <row r="8" customFormat="false" ht="15" hidden="false" customHeight="false" outlineLevel="0" collapsed="false">
      <c r="A8" s="10" t="s">
        <v>83</v>
      </c>
      <c r="B8" s="6" t="n">
        <v>5</v>
      </c>
      <c r="C8" s="32" t="s">
        <v>84</v>
      </c>
    </row>
    <row r="9" customFormat="false" ht="15" hidden="false" customHeight="false" outlineLevel="0" collapsed="false">
      <c r="A9" s="10" t="s">
        <v>85</v>
      </c>
      <c r="B9" s="34" t="n">
        <v>64</v>
      </c>
      <c r="C9" s="32" t="s">
        <v>86</v>
      </c>
    </row>
    <row r="10" customFormat="false" ht="15" hidden="false" customHeight="false" outlineLevel="0" collapsed="false">
      <c r="A10" s="10" t="s">
        <v>87</v>
      </c>
      <c r="B10" s="34" t="n">
        <v>12</v>
      </c>
      <c r="C10" s="32" t="s">
        <v>88</v>
      </c>
    </row>
    <row r="11" customFormat="false" ht="15" hidden="false" customHeight="false" outlineLevel="0" collapsed="false">
      <c r="A11" s="4" t="s">
        <v>89</v>
      </c>
      <c r="B11" s="2"/>
      <c r="C11" s="2"/>
    </row>
    <row r="12" customFormat="false" ht="15" hidden="false" customHeight="false" outlineLevel="0" collapsed="false">
      <c r="A12" s="2" t="s">
        <v>90</v>
      </c>
      <c r="B12" s="35" t="n">
        <f aca="false">INDEX('Price Compare'!$G$5:$G$38,MATCH(B6,'Price Compare'!$B$5:$B$38,0))</f>
        <v>0.95</v>
      </c>
      <c r="C12" s="2"/>
    </row>
    <row r="13" customFormat="false" ht="15" hidden="false" customHeight="false" outlineLevel="0" collapsed="false">
      <c r="A13" s="2" t="s">
        <v>91</v>
      </c>
      <c r="B13" s="36" t="n">
        <f aca="false">INDEX('Price Compare'!$F$5:$F$38,MATCH(B6,'Price Compare'!$B$5:$B$38,0))</f>
        <v>59.2</v>
      </c>
      <c r="C13" s="2"/>
    </row>
    <row r="14" customFormat="false" ht="15" hidden="false" customHeight="false" outlineLevel="0" collapsed="false">
      <c r="A14" s="2" t="s">
        <v>92</v>
      </c>
      <c r="B14" s="16" t="n">
        <f aca="false">INDEX('Price Compare'!$H$5:$H$38,MATCH(B6,'Price Compare'!$B$5:$B$38,0))</f>
        <v>37.99</v>
      </c>
      <c r="C14" s="2"/>
    </row>
    <row r="15" customFormat="false" ht="15" hidden="false" customHeight="false" outlineLevel="0" collapsed="false">
      <c r="A15" s="2" t="s">
        <v>93</v>
      </c>
      <c r="B15" s="36" t="n">
        <f aca="false">B7/B12</f>
        <v>9.78947368421053</v>
      </c>
      <c r="C15" s="2"/>
    </row>
    <row r="16" customFormat="false" ht="15" hidden="false" customHeight="false" outlineLevel="0" collapsed="false">
      <c r="A16" s="2" t="s">
        <v>94</v>
      </c>
      <c r="B16" s="36" t="n">
        <f aca="false">128-B15-B8-B9-B10</f>
        <v>37.2105263157895</v>
      </c>
      <c r="C16" s="2"/>
    </row>
    <row r="17" customFormat="false" ht="15" hidden="false" customHeight="false" outlineLevel="0" collapsed="false">
      <c r="A17" s="2" t="s">
        <v>95</v>
      </c>
      <c r="B17" s="35" t="n">
        <f aca="false">(B15*B12+B8*0.15)/128</f>
        <v>0.078515625</v>
      </c>
      <c r="C17" s="2"/>
    </row>
    <row r="18" customFormat="false" ht="15" hidden="false" customHeight="false" outlineLevel="0" collapsed="false">
      <c r="A18" s="2" t="s">
        <v>96</v>
      </c>
      <c r="B18" s="31" t="n">
        <f aca="false">(B15*B12+B8*0.15)/0.6</f>
        <v>16.75</v>
      </c>
      <c r="C18" s="2"/>
    </row>
    <row r="19" customFormat="false" ht="15" hidden="false" customHeight="false" outlineLevel="0" collapsed="false">
      <c r="A19" s="2" t="s">
        <v>97</v>
      </c>
      <c r="B19" s="37" t="n">
        <f aca="false">9*B17/0.6</f>
        <v>1.177734375</v>
      </c>
      <c r="C19" s="2"/>
    </row>
    <row r="20" customFormat="false" ht="15" hidden="false" customHeight="false" outlineLevel="0" collapsed="false">
      <c r="A20" s="2"/>
      <c r="B20" s="2"/>
      <c r="C20" s="2"/>
    </row>
    <row r="21" customFormat="false" ht="15" hidden="false" customHeight="false" outlineLevel="0" collapsed="false">
      <c r="A21" s="4" t="s">
        <v>98</v>
      </c>
      <c r="B21" s="2"/>
      <c r="C21" s="2"/>
    </row>
    <row r="22" customFormat="false" ht="15" hidden="false" customHeight="false" outlineLevel="0" collapsed="false">
      <c r="A22" s="13" t="s">
        <v>78</v>
      </c>
      <c r="B22" s="36" t="n">
        <f aca="false">B15</f>
        <v>9.78947368421053</v>
      </c>
      <c r="C22" s="2" t="s">
        <v>99</v>
      </c>
    </row>
    <row r="23" customFormat="false" ht="15" hidden="false" customHeight="false" outlineLevel="0" collapsed="false">
      <c r="A23" s="13" t="s">
        <v>100</v>
      </c>
      <c r="B23" s="36" t="n">
        <f aca="false">B8</f>
        <v>5</v>
      </c>
      <c r="C23" s="2" t="s">
        <v>99</v>
      </c>
    </row>
    <row r="24" customFormat="false" ht="15" hidden="false" customHeight="false" outlineLevel="0" collapsed="false">
      <c r="A24" s="13" t="s">
        <v>101</v>
      </c>
      <c r="B24" s="36" t="n">
        <f aca="false">B9</f>
        <v>64</v>
      </c>
      <c r="C24" s="2" t="s">
        <v>99</v>
      </c>
    </row>
    <row r="25" customFormat="false" ht="15" hidden="false" customHeight="false" outlineLevel="0" collapsed="false">
      <c r="A25" s="13" t="s">
        <v>102</v>
      </c>
      <c r="B25" s="36" t="n">
        <f aca="false">B10</f>
        <v>12</v>
      </c>
      <c r="C25" s="2" t="s">
        <v>99</v>
      </c>
    </row>
    <row r="26" customFormat="false" ht="15" hidden="false" customHeight="false" outlineLevel="0" collapsed="false">
      <c r="A26" s="13" t="s">
        <v>103</v>
      </c>
      <c r="B26" s="36" t="n">
        <f aca="false">B16</f>
        <v>37.2105263157895</v>
      </c>
      <c r="C26" s="2" t="s">
        <v>99</v>
      </c>
    </row>
    <row r="27" customFormat="false" ht="15" hidden="false" customHeight="false" outlineLevel="0" collapsed="false">
      <c r="A27" s="10" t="s">
        <v>69</v>
      </c>
      <c r="B27" s="36" t="n">
        <f aca="false">SUM(B22:B26)</f>
        <v>128</v>
      </c>
      <c r="C27" s="2" t="s">
        <v>99</v>
      </c>
    </row>
    <row r="28" customFormat="false" ht="15" hidden="false" customHeight="false" outlineLevel="0" collapsed="false">
      <c r="A28" s="2"/>
      <c r="B28" s="2"/>
      <c r="C28" s="2"/>
    </row>
    <row r="29" customFormat="false" ht="15" hidden="false" customHeight="false" outlineLevel="0" collapsed="false">
      <c r="A29" s="32" t="s">
        <v>104</v>
      </c>
      <c r="B29" s="2"/>
      <c r="C29" s="2"/>
    </row>
    <row r="30" customFormat="false" ht="15" hidden="false" customHeight="false" outlineLevel="0" collapsed="false">
      <c r="A30" s="2"/>
      <c r="B30" s="2"/>
      <c r="C30" s="2"/>
    </row>
    <row r="31" customFormat="false" ht="15" hidden="false" customHeight="false" outlineLevel="0" collapsed="false">
      <c r="A31" s="4" t="s">
        <v>105</v>
      </c>
      <c r="B31" s="2"/>
      <c r="C31" s="2"/>
    </row>
    <row r="32" customFormat="false" ht="15" hidden="false" customHeight="false" outlineLevel="0" collapsed="false">
      <c r="A32" s="2" t="s">
        <v>106</v>
      </c>
      <c r="B32" s="38" t="n">
        <f aca="false">ROUNDUP(B4*B15/B13,0)</f>
        <v>1</v>
      </c>
      <c r="C32" s="2"/>
    </row>
    <row r="33" customFormat="false" ht="15" hidden="false" customHeight="false" outlineLevel="0" collapsed="false">
      <c r="A33" s="2" t="s">
        <v>107</v>
      </c>
      <c r="B33" s="38" t="n">
        <f aca="false">ROUNDUP(B4*B8/33.8,0)</f>
        <v>1</v>
      </c>
      <c r="C33" s="2"/>
    </row>
    <row r="34" customFormat="false" ht="15" hidden="false" customHeight="false" outlineLevel="0" collapsed="false">
      <c r="A34" s="2" t="s">
        <v>108</v>
      </c>
      <c r="B34" s="38" t="n">
        <f aca="false">ROUNDUP((B4*B9+B5*80)/96,0)+1</f>
        <v>6</v>
      </c>
      <c r="C34" s="2"/>
    </row>
    <row r="35" customFormat="false" ht="15" hidden="false" customHeight="false" outlineLevel="0" collapsed="false">
      <c r="A35" s="2" t="s">
        <v>109</v>
      </c>
      <c r="B35" s="38" t="n">
        <f aca="false">ROUNDUP(B4*B10+B5*16,0)</f>
        <v>88</v>
      </c>
      <c r="C35" s="2"/>
    </row>
    <row r="36" customFormat="false" ht="15" hidden="false" customHeight="false" outlineLevel="0" collapsed="false">
      <c r="A36" s="2" t="s">
        <v>110</v>
      </c>
      <c r="B36" s="38" t="n">
        <f aca="false">ROUNDUP((B4*B16+B5*32)/67.6,0)</f>
        <v>4</v>
      </c>
      <c r="C36" s="2"/>
    </row>
    <row r="37" customFormat="false" ht="15" hidden="false" customHeight="false" outlineLevel="0" collapsed="false">
      <c r="A37" s="2" t="s">
        <v>111</v>
      </c>
      <c r="B37" s="31" t="n">
        <f aca="false">B4*B18</f>
        <v>100.5</v>
      </c>
      <c r="C37" s="2"/>
    </row>
  </sheetData>
  <dataValidations count="1">
    <dataValidation allowBlank="false" errorStyle="stop" operator="between" showDropDown="false" showErrorMessage="false" showInputMessage="false" sqref="B6" type="list">
      <formula1>'Price Compare'!$B$5:$B$15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7" min="5" style="0" width="8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52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113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35.05" hidden="false" customHeight="false" outlineLevel="0" collapsed="false">
      <c r="A4" s="39" t="s">
        <v>114</v>
      </c>
      <c r="B4" s="39" t="s">
        <v>115</v>
      </c>
      <c r="C4" s="39" t="s">
        <v>37</v>
      </c>
      <c r="D4" s="39" t="s">
        <v>116</v>
      </c>
      <c r="E4" s="39" t="s">
        <v>39</v>
      </c>
      <c r="F4" s="39" t="s">
        <v>40</v>
      </c>
      <c r="G4" s="39" t="s">
        <v>41</v>
      </c>
      <c r="H4" s="39" t="s">
        <v>117</v>
      </c>
      <c r="I4" s="39" t="s">
        <v>118</v>
      </c>
      <c r="J4" s="39" t="s">
        <v>119</v>
      </c>
      <c r="K4" s="39" t="s">
        <v>120</v>
      </c>
      <c r="L4" s="39" t="s">
        <v>121</v>
      </c>
    </row>
    <row r="5" customFormat="false" ht="15" hidden="false" customHeight="false" outlineLevel="0" collapsed="false">
      <c r="A5" s="19" t="s">
        <v>122</v>
      </c>
      <c r="B5" s="19" t="s">
        <v>79</v>
      </c>
      <c r="C5" s="19" t="s">
        <v>123</v>
      </c>
      <c r="D5" s="19" t="s">
        <v>124</v>
      </c>
      <c r="E5" s="40" t="n">
        <v>1</v>
      </c>
      <c r="F5" s="41" t="n">
        <v>59.2</v>
      </c>
      <c r="G5" s="28" t="n">
        <v>0.95</v>
      </c>
      <c r="H5" s="29" t="n">
        <v>37.99</v>
      </c>
      <c r="I5" s="42" t="n">
        <f aca="false">E5*F5*G5/0.6</f>
        <v>93.7333333333333</v>
      </c>
      <c r="J5" s="43" t="n">
        <f aca="false">IFERROR(H5/I5,0)</f>
        <v>0.405298719772404</v>
      </c>
      <c r="K5" s="44" t="s">
        <v>125</v>
      </c>
      <c r="L5" s="45" t="s">
        <v>126</v>
      </c>
    </row>
    <row r="6" customFormat="false" ht="15" hidden="false" customHeight="false" outlineLevel="0" collapsed="false">
      <c r="A6" s="19" t="s">
        <v>122</v>
      </c>
      <c r="B6" s="19" t="s">
        <v>127</v>
      </c>
      <c r="C6" s="19" t="s">
        <v>123</v>
      </c>
      <c r="D6" s="19" t="s">
        <v>128</v>
      </c>
      <c r="E6" s="40" t="n">
        <v>1</v>
      </c>
      <c r="F6" s="41" t="n">
        <v>25.4</v>
      </c>
      <c r="G6" s="28" t="n">
        <v>0.95</v>
      </c>
      <c r="H6" s="29" t="n">
        <v>18.99</v>
      </c>
      <c r="I6" s="42" t="n">
        <f aca="false">E6*F6*G6/0.6</f>
        <v>40.2166666666667</v>
      </c>
      <c r="J6" s="43" t="n">
        <f aca="false">IFERROR(H6/I6,0)</f>
        <v>0.472192291753005</v>
      </c>
      <c r="K6" s="44" t="s">
        <v>129</v>
      </c>
      <c r="L6" s="45" t="s">
        <v>130</v>
      </c>
    </row>
    <row r="7" customFormat="false" ht="15" hidden="false" customHeight="false" outlineLevel="0" collapsed="false">
      <c r="A7" s="19" t="s">
        <v>122</v>
      </c>
      <c r="B7" s="19" t="s">
        <v>131</v>
      </c>
      <c r="C7" s="19" t="s">
        <v>123</v>
      </c>
      <c r="D7" s="19" t="s">
        <v>124</v>
      </c>
      <c r="E7" s="40" t="n">
        <v>1</v>
      </c>
      <c r="F7" s="41" t="n">
        <v>59.2</v>
      </c>
      <c r="G7" s="28" t="n">
        <v>0.4</v>
      </c>
      <c r="H7" s="29" t="n">
        <v>18.99</v>
      </c>
      <c r="I7" s="42" t="n">
        <f aca="false">E7*F7*G7/0.6</f>
        <v>39.4666666666667</v>
      </c>
      <c r="J7" s="43" t="n">
        <f aca="false">IFERROR(H7/I7,0)</f>
        <v>0.48116554054054</v>
      </c>
      <c r="K7" s="44" t="s">
        <v>132</v>
      </c>
      <c r="L7" s="45" t="s">
        <v>133</v>
      </c>
    </row>
    <row r="8" customFormat="false" ht="15" hidden="false" customHeight="false" outlineLevel="0" collapsed="false">
      <c r="A8" s="19" t="s">
        <v>122</v>
      </c>
      <c r="B8" s="19" t="s">
        <v>134</v>
      </c>
      <c r="C8" s="19" t="s">
        <v>123</v>
      </c>
      <c r="D8" s="19" t="s">
        <v>124</v>
      </c>
      <c r="E8" s="40" t="n">
        <v>1</v>
      </c>
      <c r="F8" s="41" t="n">
        <v>59.2</v>
      </c>
      <c r="G8" s="28" t="n">
        <v>0.4</v>
      </c>
      <c r="H8" s="29" t="n">
        <v>19.99</v>
      </c>
      <c r="I8" s="42" t="n">
        <f aca="false">E8*F8*G8/0.6</f>
        <v>39.4666666666667</v>
      </c>
      <c r="J8" s="43" t="n">
        <f aca="false">IFERROR(H8/I8,0)</f>
        <v>0.506503378378378</v>
      </c>
      <c r="K8" s="44" t="s">
        <v>135</v>
      </c>
      <c r="L8" s="45" t="s">
        <v>136</v>
      </c>
    </row>
    <row r="9" customFormat="false" ht="15" hidden="false" customHeight="false" outlineLevel="0" collapsed="false">
      <c r="A9" s="19" t="s">
        <v>122</v>
      </c>
      <c r="B9" s="19" t="s">
        <v>137</v>
      </c>
      <c r="C9" s="19" t="s">
        <v>123</v>
      </c>
      <c r="D9" s="19" t="s">
        <v>124</v>
      </c>
      <c r="E9" s="40" t="n">
        <v>1</v>
      </c>
      <c r="F9" s="41" t="n">
        <v>59.2</v>
      </c>
      <c r="G9" s="28" t="n">
        <v>0.4</v>
      </c>
      <c r="H9" s="29" t="n">
        <v>19.99</v>
      </c>
      <c r="I9" s="42" t="n">
        <f aca="false">E9*F9*G9/0.6</f>
        <v>39.4666666666667</v>
      </c>
      <c r="J9" s="43" t="n">
        <f aca="false">IFERROR(H9/I9,0)</f>
        <v>0.506503378378378</v>
      </c>
      <c r="K9" s="44" t="s">
        <v>135</v>
      </c>
      <c r="L9" s="45" t="s">
        <v>138</v>
      </c>
    </row>
    <row r="10" customFormat="false" ht="15" hidden="false" customHeight="false" outlineLevel="0" collapsed="false">
      <c r="A10" s="19" t="s">
        <v>122</v>
      </c>
      <c r="B10" s="19" t="s">
        <v>139</v>
      </c>
      <c r="C10" s="19" t="s">
        <v>123</v>
      </c>
      <c r="D10" s="19" t="s">
        <v>124</v>
      </c>
      <c r="E10" s="40" t="n">
        <v>1</v>
      </c>
      <c r="F10" s="41" t="n">
        <v>59.2</v>
      </c>
      <c r="G10" s="28" t="n">
        <v>0.4</v>
      </c>
      <c r="H10" s="29" t="n">
        <v>15.49</v>
      </c>
      <c r="I10" s="42" t="n">
        <f aca="false">E10*F10*G10/0.6</f>
        <v>39.4666666666667</v>
      </c>
      <c r="J10" s="43" t="n">
        <f aca="false">IFERROR(H10/I10,0)</f>
        <v>0.392483108108108</v>
      </c>
      <c r="K10" s="44" t="s">
        <v>140</v>
      </c>
      <c r="L10" s="45" t="s">
        <v>141</v>
      </c>
    </row>
    <row r="11" customFormat="false" ht="15" hidden="false" customHeight="false" outlineLevel="0" collapsed="false">
      <c r="A11" s="19" t="s">
        <v>122</v>
      </c>
      <c r="B11" s="19" t="s">
        <v>142</v>
      </c>
      <c r="C11" s="19" t="s">
        <v>123</v>
      </c>
      <c r="D11" s="19" t="s">
        <v>124</v>
      </c>
      <c r="E11" s="40" t="n">
        <v>1</v>
      </c>
      <c r="F11" s="41" t="n">
        <v>59.2</v>
      </c>
      <c r="G11" s="28" t="n">
        <v>0.4</v>
      </c>
      <c r="H11" s="29" t="n">
        <v>21.99</v>
      </c>
      <c r="I11" s="42" t="n">
        <f aca="false">E11*F11*G11/0.6</f>
        <v>39.4666666666667</v>
      </c>
      <c r="J11" s="43" t="n">
        <f aca="false">IFERROR(H11/I11,0)</f>
        <v>0.557179054054054</v>
      </c>
      <c r="K11" s="44" t="s">
        <v>143</v>
      </c>
      <c r="L11" s="45" t="s">
        <v>144</v>
      </c>
    </row>
    <row r="12" customFormat="false" ht="15" hidden="false" customHeight="false" outlineLevel="0" collapsed="false">
      <c r="A12" s="19" t="s">
        <v>122</v>
      </c>
      <c r="B12" s="19" t="s">
        <v>145</v>
      </c>
      <c r="C12" s="19" t="s">
        <v>123</v>
      </c>
      <c r="D12" s="19" t="s">
        <v>124</v>
      </c>
      <c r="E12" s="40" t="n">
        <v>1</v>
      </c>
      <c r="F12" s="41" t="n">
        <v>59.2</v>
      </c>
      <c r="G12" s="28" t="n">
        <v>0.4</v>
      </c>
      <c r="H12" s="29" t="n">
        <v>28.99</v>
      </c>
      <c r="I12" s="42" t="n">
        <f aca="false">E12*F12*G12/0.6</f>
        <v>39.4666666666667</v>
      </c>
      <c r="J12" s="43" t="n">
        <f aca="false">IFERROR(H12/I12,0)</f>
        <v>0.734543918918919</v>
      </c>
      <c r="K12" s="44" t="s">
        <v>146</v>
      </c>
      <c r="L12" s="45" t="s">
        <v>147</v>
      </c>
    </row>
    <row r="13" customFormat="false" ht="15" hidden="false" customHeight="false" outlineLevel="0" collapsed="false">
      <c r="A13" s="19" t="s">
        <v>122</v>
      </c>
      <c r="B13" s="19" t="s">
        <v>148</v>
      </c>
      <c r="C13" s="19" t="s">
        <v>123</v>
      </c>
      <c r="D13" s="19" t="s">
        <v>124</v>
      </c>
      <c r="E13" s="40" t="n">
        <v>1</v>
      </c>
      <c r="F13" s="41" t="n">
        <v>59.2</v>
      </c>
      <c r="G13" s="28" t="n">
        <v>0.4</v>
      </c>
      <c r="H13" s="29" t="n">
        <v>32.99</v>
      </c>
      <c r="I13" s="42" t="n">
        <f aca="false">E13*F13*G13/0.6</f>
        <v>39.4666666666667</v>
      </c>
      <c r="J13" s="43" t="n">
        <f aca="false">IFERROR(H13/I13,0)</f>
        <v>0.83589527027027</v>
      </c>
      <c r="K13" s="44" t="s">
        <v>149</v>
      </c>
      <c r="L13" s="45" t="s">
        <v>150</v>
      </c>
    </row>
    <row r="14" customFormat="false" ht="15" hidden="false" customHeight="false" outlineLevel="0" collapsed="false">
      <c r="A14" s="19" t="s">
        <v>122</v>
      </c>
      <c r="B14" s="19" t="s">
        <v>151</v>
      </c>
      <c r="C14" s="19" t="s">
        <v>123</v>
      </c>
      <c r="D14" s="19" t="s">
        <v>124</v>
      </c>
      <c r="E14" s="40" t="n">
        <v>1</v>
      </c>
      <c r="F14" s="41" t="n">
        <v>59.2</v>
      </c>
      <c r="G14" s="28" t="n">
        <v>0.4</v>
      </c>
      <c r="H14" s="29" t="n">
        <v>29.99</v>
      </c>
      <c r="I14" s="42" t="n">
        <f aca="false">E14*F14*G14/0.6</f>
        <v>39.4666666666667</v>
      </c>
      <c r="J14" s="43" t="n">
        <f aca="false">IFERROR(H14/I14,0)</f>
        <v>0.759881756756757</v>
      </c>
      <c r="K14" s="44"/>
      <c r="L14" s="45" t="s">
        <v>152</v>
      </c>
    </row>
    <row r="15" customFormat="false" ht="15" hidden="false" customHeight="false" outlineLevel="0" collapsed="false">
      <c r="A15" s="19" t="s">
        <v>122</v>
      </c>
      <c r="B15" s="19" t="s">
        <v>153</v>
      </c>
      <c r="C15" s="19" t="s">
        <v>123</v>
      </c>
      <c r="D15" s="19" t="s">
        <v>124</v>
      </c>
      <c r="E15" s="40" t="n">
        <v>1</v>
      </c>
      <c r="F15" s="41" t="n">
        <v>59.2</v>
      </c>
      <c r="G15" s="28" t="n">
        <v>0.4</v>
      </c>
      <c r="H15" s="29" t="n">
        <v>22.99</v>
      </c>
      <c r="I15" s="42" t="n">
        <f aca="false">E15*F15*G15/0.6</f>
        <v>39.4666666666667</v>
      </c>
      <c r="J15" s="43" t="n">
        <f aca="false">IFERROR(H15/I15,0)</f>
        <v>0.582516891891892</v>
      </c>
      <c r="K15" s="44" t="s">
        <v>154</v>
      </c>
      <c r="L15" s="45" t="s">
        <v>155</v>
      </c>
    </row>
    <row r="16" customFormat="false" ht="15" hidden="false" customHeight="false" outlineLevel="0" collapsed="false">
      <c r="A16" s="19" t="s">
        <v>156</v>
      </c>
      <c r="B16" s="19" t="s">
        <v>157</v>
      </c>
      <c r="C16" s="19" t="s">
        <v>123</v>
      </c>
      <c r="D16" s="19" t="s">
        <v>158</v>
      </c>
      <c r="E16" s="40" t="n">
        <v>1</v>
      </c>
      <c r="F16" s="41" t="n">
        <v>33.8</v>
      </c>
      <c r="G16" s="28" t="n">
        <v>0.15</v>
      </c>
      <c r="H16" s="29" t="n">
        <v>7.99</v>
      </c>
      <c r="I16" s="42" t="n">
        <f aca="false">E16*F16*G16/0.6</f>
        <v>8.45</v>
      </c>
      <c r="J16" s="43" t="n">
        <f aca="false">IFERROR(H16/I16,0)</f>
        <v>0.945562130177515</v>
      </c>
      <c r="K16" s="44" t="s">
        <v>159</v>
      </c>
      <c r="L16" s="45" t="s">
        <v>160</v>
      </c>
    </row>
    <row r="17" customFormat="false" ht="15" hidden="false" customHeight="false" outlineLevel="0" collapsed="false">
      <c r="A17" s="19" t="s">
        <v>156</v>
      </c>
      <c r="B17" s="19" t="s">
        <v>161</v>
      </c>
      <c r="C17" s="19" t="s">
        <v>123</v>
      </c>
      <c r="D17" s="19" t="s">
        <v>158</v>
      </c>
      <c r="E17" s="40" t="n">
        <v>1</v>
      </c>
      <c r="F17" s="41" t="n">
        <v>33.8</v>
      </c>
      <c r="G17" s="28" t="n">
        <v>0.21</v>
      </c>
      <c r="H17" s="29" t="n">
        <v>9.99</v>
      </c>
      <c r="I17" s="42" t="n">
        <f aca="false">E17*F17*G17/0.6</f>
        <v>11.83</v>
      </c>
      <c r="J17" s="43" t="n">
        <f aca="false">IFERROR(H17/I17,0)</f>
        <v>0.844463229078614</v>
      </c>
      <c r="K17" s="44"/>
      <c r="L17" s="45" t="s">
        <v>162</v>
      </c>
    </row>
    <row r="18" customFormat="false" ht="15" hidden="false" customHeight="false" outlineLevel="0" collapsed="false">
      <c r="A18" s="19" t="s">
        <v>156</v>
      </c>
      <c r="B18" s="19" t="s">
        <v>163</v>
      </c>
      <c r="C18" s="19" t="s">
        <v>123</v>
      </c>
      <c r="D18" s="19" t="s">
        <v>128</v>
      </c>
      <c r="E18" s="40" t="n">
        <v>1</v>
      </c>
      <c r="F18" s="41" t="n">
        <v>25.4</v>
      </c>
      <c r="G18" s="28" t="n">
        <v>0.35</v>
      </c>
      <c r="H18" s="29" t="n">
        <v>21.99</v>
      </c>
      <c r="I18" s="42" t="n">
        <f aca="false">E18*F18*G18/0.6</f>
        <v>14.8166666666667</v>
      </c>
      <c r="J18" s="43" t="n">
        <f aca="false">IFERROR(H18/I18,0)</f>
        <v>1.48413948256468</v>
      </c>
      <c r="K18" s="44" t="s">
        <v>164</v>
      </c>
      <c r="L18" s="45" t="s">
        <v>165</v>
      </c>
    </row>
    <row r="19" customFormat="false" ht="15" hidden="false" customHeight="false" outlineLevel="0" collapsed="false">
      <c r="A19" s="19" t="s">
        <v>51</v>
      </c>
      <c r="B19" s="19" t="s">
        <v>166</v>
      </c>
      <c r="C19" s="19" t="s">
        <v>123</v>
      </c>
      <c r="D19" s="19" t="s">
        <v>128</v>
      </c>
      <c r="E19" s="40" t="n">
        <v>1</v>
      </c>
      <c r="F19" s="41" t="n">
        <v>25.4</v>
      </c>
      <c r="G19" s="28" t="n">
        <v>0.4</v>
      </c>
      <c r="H19" s="29" t="n">
        <v>22.99</v>
      </c>
      <c r="I19" s="42" t="n">
        <f aca="false">E19*F19*G19/0.6</f>
        <v>16.9333333333333</v>
      </c>
      <c r="J19" s="43" t="n">
        <f aca="false">IFERROR(H19/I19,0)</f>
        <v>1.35767716535433</v>
      </c>
      <c r="K19" s="44" t="s">
        <v>159</v>
      </c>
      <c r="L19" s="45" t="s">
        <v>160</v>
      </c>
    </row>
    <row r="20" customFormat="false" ht="15" hidden="false" customHeight="false" outlineLevel="0" collapsed="false">
      <c r="A20" s="19" t="s">
        <v>51</v>
      </c>
      <c r="B20" s="19" t="s">
        <v>167</v>
      </c>
      <c r="C20" s="19" t="s">
        <v>123</v>
      </c>
      <c r="D20" s="19" t="s">
        <v>128</v>
      </c>
      <c r="E20" s="40" t="n">
        <v>1</v>
      </c>
      <c r="F20" s="41" t="n">
        <v>25.4</v>
      </c>
      <c r="G20" s="28" t="n">
        <v>0.4</v>
      </c>
      <c r="H20" s="29" t="n">
        <v>22.99</v>
      </c>
      <c r="I20" s="42" t="n">
        <f aca="false">E20*F20*G20/0.6</f>
        <v>16.9333333333333</v>
      </c>
      <c r="J20" s="43" t="n">
        <f aca="false">IFERROR(H20/I20,0)</f>
        <v>1.35767716535433</v>
      </c>
      <c r="K20" s="44" t="s">
        <v>168</v>
      </c>
      <c r="L20" s="45" t="s">
        <v>169</v>
      </c>
    </row>
    <row r="21" customFormat="false" ht="15" hidden="false" customHeight="false" outlineLevel="0" collapsed="false">
      <c r="A21" s="19" t="s">
        <v>51</v>
      </c>
      <c r="B21" s="19" t="s">
        <v>170</v>
      </c>
      <c r="C21" s="19" t="s">
        <v>123</v>
      </c>
      <c r="D21" s="19" t="s">
        <v>128</v>
      </c>
      <c r="E21" s="40" t="n">
        <v>1</v>
      </c>
      <c r="F21" s="41" t="n">
        <v>25.4</v>
      </c>
      <c r="G21" s="28" t="n">
        <v>0.4</v>
      </c>
      <c r="H21" s="29" t="n">
        <v>23.99</v>
      </c>
      <c r="I21" s="42" t="n">
        <f aca="false">E21*F21*G21/0.6</f>
        <v>16.9333333333333</v>
      </c>
      <c r="J21" s="43" t="n">
        <f aca="false">IFERROR(H21/I21,0)</f>
        <v>1.41673228346457</v>
      </c>
      <c r="K21" s="44"/>
      <c r="L21" s="45" t="s">
        <v>171</v>
      </c>
    </row>
    <row r="22" customFormat="false" ht="15" hidden="false" customHeight="false" outlineLevel="0" collapsed="false">
      <c r="A22" s="19" t="s">
        <v>51</v>
      </c>
      <c r="B22" s="19" t="s">
        <v>172</v>
      </c>
      <c r="C22" s="19" t="s">
        <v>123</v>
      </c>
      <c r="D22" s="19" t="s">
        <v>128</v>
      </c>
      <c r="E22" s="40" t="n">
        <v>1</v>
      </c>
      <c r="F22" s="41" t="n">
        <v>25.4</v>
      </c>
      <c r="G22" s="28" t="n">
        <v>0.4</v>
      </c>
      <c r="H22" s="29" t="n">
        <v>29.99</v>
      </c>
      <c r="I22" s="42" t="n">
        <f aca="false">E22*F22*G22/0.6</f>
        <v>16.9333333333333</v>
      </c>
      <c r="J22" s="43" t="n">
        <f aca="false">IFERROR(H22/I22,0)</f>
        <v>1.77106299212598</v>
      </c>
      <c r="K22" s="44" t="s">
        <v>164</v>
      </c>
      <c r="L22" s="45" t="s">
        <v>173</v>
      </c>
    </row>
    <row r="23" customFormat="false" ht="15" hidden="false" customHeight="false" outlineLevel="0" collapsed="false">
      <c r="A23" s="19" t="s">
        <v>174</v>
      </c>
      <c r="B23" s="19" t="s">
        <v>175</v>
      </c>
      <c r="C23" s="19" t="s">
        <v>123</v>
      </c>
      <c r="D23" s="19" t="s">
        <v>128</v>
      </c>
      <c r="E23" s="40" t="n">
        <v>1</v>
      </c>
      <c r="F23" s="41" t="n">
        <v>25.4</v>
      </c>
      <c r="G23" s="28" t="n">
        <v>0.165</v>
      </c>
      <c r="H23" s="29" t="n">
        <v>11.99</v>
      </c>
      <c r="I23" s="42" t="n">
        <f aca="false">E23*F23*G23/0.6</f>
        <v>6.985</v>
      </c>
      <c r="J23" s="43" t="n">
        <f aca="false">IFERROR(H23/I23,0)</f>
        <v>1.71653543307087</v>
      </c>
      <c r="K23" s="44" t="s">
        <v>176</v>
      </c>
      <c r="L23" s="45" t="s">
        <v>177</v>
      </c>
    </row>
    <row r="24" customFormat="false" ht="15" hidden="false" customHeight="false" outlineLevel="0" collapsed="false">
      <c r="A24" s="19" t="s">
        <v>55</v>
      </c>
      <c r="B24" s="19" t="s">
        <v>178</v>
      </c>
      <c r="C24" s="19" t="s">
        <v>57</v>
      </c>
      <c r="D24" s="19" t="s">
        <v>179</v>
      </c>
      <c r="E24" s="40" t="n">
        <v>6</v>
      </c>
      <c r="F24" s="41" t="n">
        <v>16.9</v>
      </c>
      <c r="G24" s="28" t="n">
        <v>0.111</v>
      </c>
      <c r="H24" s="29" t="n">
        <v>20.98</v>
      </c>
      <c r="I24" s="42" t="n">
        <f aca="false">E24*F24*G24/0.6</f>
        <v>18.759</v>
      </c>
      <c r="J24" s="43" t="n">
        <f aca="false">IFERROR(H24/I24,0)</f>
        <v>1.11839650301189</v>
      </c>
      <c r="K24" s="44" t="s">
        <v>180</v>
      </c>
      <c r="L24" s="45" t="s">
        <v>181</v>
      </c>
    </row>
    <row r="25" customFormat="false" ht="15" hidden="false" customHeight="false" outlineLevel="0" collapsed="false">
      <c r="A25" s="19" t="s">
        <v>55</v>
      </c>
      <c r="B25" s="19" t="s">
        <v>182</v>
      </c>
      <c r="C25" s="19" t="s">
        <v>63</v>
      </c>
      <c r="D25" s="19" t="s">
        <v>183</v>
      </c>
      <c r="E25" s="40" t="n">
        <v>1</v>
      </c>
      <c r="F25" s="41" t="n">
        <v>16.9</v>
      </c>
      <c r="G25" s="28" t="n">
        <v>0.111</v>
      </c>
      <c r="H25" s="29" t="n">
        <v>4.22</v>
      </c>
      <c r="I25" s="42" t="n">
        <f aca="false">E25*F25*G25/0.6</f>
        <v>3.1265</v>
      </c>
      <c r="J25" s="43" t="n">
        <f aca="false">IFERROR(H25/I25,0)</f>
        <v>1.34975211898289</v>
      </c>
      <c r="K25" s="44"/>
      <c r="L25" s="45" t="s">
        <v>184</v>
      </c>
    </row>
    <row r="26" customFormat="false" ht="15" hidden="false" customHeight="false" outlineLevel="0" collapsed="false">
      <c r="A26" s="19" t="s">
        <v>55</v>
      </c>
      <c r="B26" s="19" t="s">
        <v>185</v>
      </c>
      <c r="C26" s="19" t="s">
        <v>123</v>
      </c>
      <c r="D26" s="19" t="s">
        <v>186</v>
      </c>
      <c r="E26" s="40" t="n">
        <v>4</v>
      </c>
      <c r="F26" s="41" t="n">
        <v>12</v>
      </c>
      <c r="G26" s="28" t="n">
        <v>0.125</v>
      </c>
      <c r="H26" s="29" t="n">
        <v>12.99</v>
      </c>
      <c r="I26" s="42" t="n">
        <f aca="false">E26*F26*G26/0.6</f>
        <v>10</v>
      </c>
      <c r="J26" s="43" t="n">
        <f aca="false">IFERROR(H26/I26,0)</f>
        <v>1.299</v>
      </c>
      <c r="K26" s="44" t="s">
        <v>187</v>
      </c>
      <c r="L26" s="45" t="s">
        <v>188</v>
      </c>
    </row>
    <row r="27" customFormat="false" ht="15" hidden="false" customHeight="false" outlineLevel="0" collapsed="false">
      <c r="A27" s="19" t="s">
        <v>55</v>
      </c>
      <c r="B27" s="19" t="s">
        <v>189</v>
      </c>
      <c r="C27" s="19" t="s">
        <v>57</v>
      </c>
      <c r="D27" s="19" t="s">
        <v>190</v>
      </c>
      <c r="E27" s="40" t="n">
        <v>1</v>
      </c>
      <c r="F27" s="41" t="n">
        <v>50.7</v>
      </c>
      <c r="G27" s="28" t="n">
        <v>0.15</v>
      </c>
      <c r="H27" s="29" t="n">
        <v>17.76</v>
      </c>
      <c r="I27" s="42" t="n">
        <f aca="false">E27*F27*G27/0.6</f>
        <v>12.675</v>
      </c>
      <c r="J27" s="43" t="n">
        <f aca="false">IFERROR(H27/I27,0)</f>
        <v>1.40118343195266</v>
      </c>
      <c r="K27" s="44" t="s">
        <v>191</v>
      </c>
      <c r="L27" s="45" t="s">
        <v>192</v>
      </c>
    </row>
    <row r="28" customFormat="false" ht="15" hidden="false" customHeight="false" outlineLevel="0" collapsed="false">
      <c r="A28" s="19" t="s">
        <v>55</v>
      </c>
      <c r="B28" s="19" t="s">
        <v>193</v>
      </c>
      <c r="C28" s="19" t="s">
        <v>57</v>
      </c>
      <c r="D28" s="19" t="s">
        <v>194</v>
      </c>
      <c r="E28" s="40" t="n">
        <v>1</v>
      </c>
      <c r="F28" s="41" t="n">
        <v>6.3</v>
      </c>
      <c r="G28" s="28" t="n">
        <v>0.15</v>
      </c>
      <c r="H28" s="29" t="n">
        <v>3.12</v>
      </c>
      <c r="I28" s="42" t="n">
        <f aca="false">E28*F28*G28/0.6</f>
        <v>1.575</v>
      </c>
      <c r="J28" s="43" t="n">
        <f aca="false">IFERROR(H28/I28,0)</f>
        <v>1.98095238095238</v>
      </c>
      <c r="K28" s="44" t="s">
        <v>195</v>
      </c>
      <c r="L28" s="45" t="s">
        <v>196</v>
      </c>
    </row>
    <row r="29" customFormat="false" ht="15" hidden="false" customHeight="false" outlineLevel="0" collapsed="false">
      <c r="A29" s="19" t="s">
        <v>55</v>
      </c>
      <c r="B29" s="19" t="s">
        <v>197</v>
      </c>
      <c r="C29" s="19" t="s">
        <v>123</v>
      </c>
      <c r="D29" s="19" t="s">
        <v>198</v>
      </c>
      <c r="E29" s="40" t="n">
        <v>1</v>
      </c>
      <c r="F29" s="41" t="n">
        <v>6.8</v>
      </c>
      <c r="G29" s="28" t="n">
        <v>0.15</v>
      </c>
      <c r="H29" s="29" t="n">
        <v>3.99</v>
      </c>
      <c r="I29" s="42" t="n">
        <f aca="false">E29*F29*G29/0.6</f>
        <v>1.7</v>
      </c>
      <c r="J29" s="43" t="n">
        <f aca="false">IFERROR(H29/I29,0)</f>
        <v>2.34705882352941</v>
      </c>
      <c r="K29" s="44" t="s">
        <v>199</v>
      </c>
      <c r="L29" s="45" t="s">
        <v>200</v>
      </c>
    </row>
    <row r="30" customFormat="false" ht="15" hidden="false" customHeight="false" outlineLevel="0" collapsed="false">
      <c r="A30" s="19" t="s">
        <v>55</v>
      </c>
      <c r="B30" s="19" t="s">
        <v>201</v>
      </c>
      <c r="C30" s="19" t="s">
        <v>123</v>
      </c>
      <c r="D30" s="19" t="s">
        <v>202</v>
      </c>
      <c r="E30" s="40" t="n">
        <v>8</v>
      </c>
      <c r="F30" s="41" t="n">
        <v>12</v>
      </c>
      <c r="G30" s="28" t="n">
        <v>0.045</v>
      </c>
      <c r="H30" s="29" t="n">
        <v>19.99</v>
      </c>
      <c r="I30" s="42" t="n">
        <f aca="false">E30*F30*G30/0.6</f>
        <v>7.2</v>
      </c>
      <c r="J30" s="43" t="n">
        <f aca="false">IFERROR(H30/I30,0)</f>
        <v>2.77638888888889</v>
      </c>
      <c r="K30" s="44" t="s">
        <v>203</v>
      </c>
      <c r="L30" s="45" t="s">
        <v>204</v>
      </c>
    </row>
    <row r="31" customFormat="false" ht="15" hidden="false" customHeight="false" outlineLevel="0" collapsed="false">
      <c r="A31" s="19" t="s">
        <v>53</v>
      </c>
      <c r="B31" s="19" t="s">
        <v>205</v>
      </c>
      <c r="C31" s="19" t="s">
        <v>63</v>
      </c>
      <c r="D31" s="19" t="s">
        <v>206</v>
      </c>
      <c r="E31" s="40" t="n">
        <v>30</v>
      </c>
      <c r="F31" s="41" t="n">
        <v>12</v>
      </c>
      <c r="G31" s="28" t="n">
        <v>0.042</v>
      </c>
      <c r="H31" s="29" t="n">
        <v>24.67</v>
      </c>
      <c r="I31" s="42" t="n">
        <f aca="false">E31*F31*G31/0.6</f>
        <v>25.2</v>
      </c>
      <c r="J31" s="43" t="n">
        <f aca="false">IFERROR(H31/I31,0)</f>
        <v>0.978968253968254</v>
      </c>
      <c r="K31" s="44" t="s">
        <v>207</v>
      </c>
      <c r="L31" s="45" t="s">
        <v>208</v>
      </c>
    </row>
    <row r="32" customFormat="false" ht="15" hidden="false" customHeight="false" outlineLevel="0" collapsed="false">
      <c r="A32" s="19" t="s">
        <v>53</v>
      </c>
      <c r="B32" s="19" t="s">
        <v>209</v>
      </c>
      <c r="C32" s="19" t="s">
        <v>57</v>
      </c>
      <c r="D32" s="19" t="s">
        <v>206</v>
      </c>
      <c r="E32" s="40" t="n">
        <v>30</v>
      </c>
      <c r="F32" s="41" t="n">
        <v>12</v>
      </c>
      <c r="G32" s="28" t="n">
        <v>0.0465</v>
      </c>
      <c r="H32" s="29" t="n">
        <v>27.47</v>
      </c>
      <c r="I32" s="42" t="n">
        <f aca="false">E32*F32*G32/0.6</f>
        <v>27.9</v>
      </c>
      <c r="J32" s="43" t="n">
        <f aca="false">IFERROR(H32/I32,0)</f>
        <v>0.984587813620072</v>
      </c>
      <c r="K32" s="44" t="s">
        <v>210</v>
      </c>
      <c r="L32" s="45" t="s">
        <v>211</v>
      </c>
    </row>
    <row r="33" customFormat="false" ht="15" hidden="false" customHeight="false" outlineLevel="0" collapsed="false">
      <c r="A33" s="19" t="s">
        <v>53</v>
      </c>
      <c r="B33" s="19" t="s">
        <v>212</v>
      </c>
      <c r="C33" s="19" t="s">
        <v>57</v>
      </c>
      <c r="D33" s="19" t="s">
        <v>206</v>
      </c>
      <c r="E33" s="40" t="n">
        <v>30</v>
      </c>
      <c r="F33" s="41" t="n">
        <v>12</v>
      </c>
      <c r="G33" s="28" t="n">
        <v>0.042</v>
      </c>
      <c r="H33" s="29" t="n">
        <v>29.87</v>
      </c>
      <c r="I33" s="42" t="n">
        <f aca="false">E33*F33*G33/0.6</f>
        <v>25.2</v>
      </c>
      <c r="J33" s="43" t="n">
        <f aca="false">IFERROR(H33/I33,0)</f>
        <v>1.18531746031746</v>
      </c>
      <c r="K33" s="44"/>
      <c r="L33" s="45" t="s">
        <v>213</v>
      </c>
    </row>
    <row r="34" customFormat="false" ht="15" hidden="false" customHeight="false" outlineLevel="0" collapsed="false">
      <c r="A34" s="19" t="s">
        <v>53</v>
      </c>
      <c r="B34" s="19" t="s">
        <v>214</v>
      </c>
      <c r="C34" s="19" t="s">
        <v>57</v>
      </c>
      <c r="D34" s="19" t="s">
        <v>215</v>
      </c>
      <c r="E34" s="40" t="n">
        <v>24</v>
      </c>
      <c r="F34" s="41" t="n">
        <v>12</v>
      </c>
      <c r="G34" s="28" t="n">
        <v>0.044</v>
      </c>
      <c r="H34" s="29" t="n">
        <v>26.66</v>
      </c>
      <c r="I34" s="42" t="n">
        <f aca="false">E34*F34*G34/0.6</f>
        <v>21.12</v>
      </c>
      <c r="J34" s="43" t="n">
        <f aca="false">IFERROR(H34/I34,0)</f>
        <v>1.26231060606061</v>
      </c>
      <c r="K34" s="44" t="s">
        <v>216</v>
      </c>
      <c r="L34" s="45" t="s">
        <v>217</v>
      </c>
    </row>
    <row r="35" customFormat="false" ht="15" hidden="false" customHeight="false" outlineLevel="0" collapsed="false">
      <c r="A35" s="19" t="s">
        <v>54</v>
      </c>
      <c r="B35" s="19" t="s">
        <v>218</v>
      </c>
      <c r="C35" s="19" t="s">
        <v>57</v>
      </c>
      <c r="D35" s="19" t="s">
        <v>215</v>
      </c>
      <c r="E35" s="40" t="n">
        <v>24</v>
      </c>
      <c r="F35" s="41" t="n">
        <v>12</v>
      </c>
      <c r="G35" s="28" t="n">
        <v>0.05</v>
      </c>
      <c r="H35" s="29" t="n">
        <v>29.87</v>
      </c>
      <c r="I35" s="42" t="n">
        <f aca="false">E35*F35*G35/0.6</f>
        <v>24</v>
      </c>
      <c r="J35" s="43" t="n">
        <f aca="false">IFERROR(H35/I35,0)</f>
        <v>1.24458333333333</v>
      </c>
      <c r="K35" s="44"/>
      <c r="L35" s="45" t="s">
        <v>219</v>
      </c>
    </row>
    <row r="36" customFormat="false" ht="15" hidden="false" customHeight="false" outlineLevel="0" collapsed="false">
      <c r="A36" s="19" t="s">
        <v>54</v>
      </c>
      <c r="B36" s="19" t="s">
        <v>220</v>
      </c>
      <c r="C36" s="19" t="s">
        <v>57</v>
      </c>
      <c r="D36" s="19" t="s">
        <v>221</v>
      </c>
      <c r="E36" s="40" t="n">
        <v>12</v>
      </c>
      <c r="F36" s="41" t="n">
        <v>12</v>
      </c>
      <c r="G36" s="28" t="n">
        <v>0.05</v>
      </c>
      <c r="H36" s="29" t="n">
        <v>18.67</v>
      </c>
      <c r="I36" s="42" t="n">
        <f aca="false">E36*F36*G36/0.6</f>
        <v>12</v>
      </c>
      <c r="J36" s="43" t="n">
        <f aca="false">IFERROR(H36/I36,0)</f>
        <v>1.55583333333333</v>
      </c>
      <c r="K36" s="44"/>
      <c r="L36" s="45" t="s">
        <v>222</v>
      </c>
    </row>
    <row r="37" customFormat="false" ht="15" hidden="false" customHeight="false" outlineLevel="0" collapsed="false">
      <c r="A37" s="19" t="s">
        <v>54</v>
      </c>
      <c r="B37" s="19" t="s">
        <v>223</v>
      </c>
      <c r="C37" s="19" t="s">
        <v>57</v>
      </c>
      <c r="D37" s="19" t="s">
        <v>215</v>
      </c>
      <c r="E37" s="40" t="n">
        <v>24</v>
      </c>
      <c r="F37" s="41" t="n">
        <v>12</v>
      </c>
      <c r="G37" s="28" t="n">
        <v>0.05</v>
      </c>
      <c r="H37" s="29" t="n">
        <v>29.48</v>
      </c>
      <c r="I37" s="42" t="n">
        <f aca="false">E37*F37*G37/0.6</f>
        <v>24</v>
      </c>
      <c r="J37" s="43" t="n">
        <f aca="false">IFERROR(H37/I37,0)</f>
        <v>1.22833333333333</v>
      </c>
      <c r="K37" s="44"/>
      <c r="L37" s="45" t="s">
        <v>224</v>
      </c>
    </row>
    <row r="38" customFormat="false" ht="15" hidden="false" customHeight="false" outlineLevel="0" collapsed="false">
      <c r="A38" s="19" t="s">
        <v>54</v>
      </c>
      <c r="B38" s="19" t="s">
        <v>225</v>
      </c>
      <c r="C38" s="19" t="s">
        <v>57</v>
      </c>
      <c r="D38" s="19" t="s">
        <v>215</v>
      </c>
      <c r="E38" s="40" t="n">
        <v>24</v>
      </c>
      <c r="F38" s="41" t="n">
        <v>12</v>
      </c>
      <c r="G38" s="28" t="n">
        <v>0.047</v>
      </c>
      <c r="H38" s="29" t="n">
        <v>31.98</v>
      </c>
      <c r="I38" s="42" t="n">
        <f aca="false">E38*F38*G38/0.6</f>
        <v>22.56</v>
      </c>
      <c r="J38" s="43" t="n">
        <f aca="false">IFERROR(H38/I38,0)</f>
        <v>1.41755319148936</v>
      </c>
      <c r="K38" s="44"/>
      <c r="L38" s="45" t="s">
        <v>226</v>
      </c>
    </row>
  </sheetData>
  <hyperlinks>
    <hyperlink ref="L5" r:id="rId2" display="https://twinliquors.com/shop/product/everclear-190/56caaf6e7562752ed5441600"/>
    <hyperlink ref="L6" r:id="rId3" display="https://twinliquors.com/shop/product/everclear-190/56caaf777562752ed5461600"/>
    <hyperlink ref="L7" r:id="rId4" display="https://twinliquors.com/shop/product/svedka-80-proof-vodka/564bd7e469702d5e6e6e0000"/>
    <hyperlink ref="L8" r:id="rId5" display="https://twinliquors.com/shop/product/smirnoff-80-proof-vodka/5521cef66561310003380200"/>
    <hyperlink ref="L9" r:id="rId6" display="https://twinliquors.com/shop/product/new-amsterdam-80-proof-vodka/5521cef46561310003d70100"/>
    <hyperlink ref="L10" r:id="rId7" display="https://twinliquors.com/shop/product/wolfschmidt-80-proof-vodka/587d3b70bfb24113b11b0173"/>
    <hyperlink ref="L11" r:id="rId8" display="https://twinliquors.com/shop/product/western-son-vodka/5967142912f2fb071587e708"/>
    <hyperlink ref="L12" r:id="rId9" display="https://twinliquors.com/shop/product/deep-eddy-vodka-original/56caaaf37562752ed5ba1500"/>
    <hyperlink ref="L13" r:id="rId10" display="https://twinliquors.com/shop/product/titos-handmade-vodka/564bd96269702d5e977a0100"/>
    <hyperlink ref="L14" r:id="rId11" display="https://twinliquors.com/shop/product/absolut-vodka/618e7c297f9199660f0132b8"/>
    <hyperlink ref="L15" r:id="rId12" display="https://twinliquors.com/shop/product/bacardi-superior-rum/587e15d239e21c07b160de8c"/>
    <hyperlink ref="L16" r:id="rId13" display="https://twinliquors.com/"/>
    <hyperlink ref="L17" r:id="rId14" display="https://twinliquors.com/shop/product/bols-liqueur-triple-sec-/56dd1c1a69702d1873930000"/>
    <hyperlink ref="L18" r:id="rId15" display="https://twinliquors.com/shop/product/patron-citronge-orange/56cacd1575627527c4200100"/>
    <hyperlink ref="L19" r:id="rId16" display="https://twinliquors.com/"/>
    <hyperlink ref="L20" r:id="rId17" display="https://twinliquors.com/shop/product/camarena-silver-tequila/56c270ca75627570b0f00100"/>
    <hyperlink ref="L21" r:id="rId18" display="https://twinliquors.com/shop/product/lunazul-blanco-tequila/56c3373a69702d27edbd0400"/>
    <hyperlink ref="L22" r:id="rId19" display="https://twinliquors.com/shop/product/teremana-blanco-tequila/5e696e9ce220be04a4e17255"/>
    <hyperlink ref="L23" r:id="rId20" display="https://twinliquors.com/shop/product/jinro-chamisul-fresh-soju/5d39f1e6ec27b513fd255b65"/>
    <hyperlink ref="L24" r:id="rId21" display="https://www.heb.com/product-detail/beatbox-party-box-variety-pack/5508020"/>
    <hyperlink ref="L25" r:id="rId22" display="https://www.walmart.com/ip/BeatBox-Fruit-Punch-Party-Punch-Cocktail-11-1-ABV-500ml-Tetra/705837624"/>
    <hyperlink ref="L26" r:id="rId23" display="https://twinliquors.com/shop/product/cutwater-lime-margarita-4pk-12oz-cans/5aee1ad65065c128fd3529da"/>
    <hyperlink ref="L27" r:id="rId24" display="https://www.heb.com/product-detail/buzzballz-biggies-berry-cherry-limeade-large-chiller/15320037"/>
    <hyperlink ref="L28" r:id="rId25" display="https://www.heb.com/product-detail/buzzballz-sour-apple-chiller/2787503"/>
    <hyperlink ref="L29" r:id="rId26" display="https://twinliquors.com/shop/product/buzzballz-rtd-strawberry-rita/573f9d5969702d34f5453500"/>
    <hyperlink ref="L30" r:id="rId27" display="https://twinliquors.com/shop/product/high-noon-sun-sips-tropical-variety-pack-rtd-cocktail-cans/607de70b40603747fe45e498"/>
    <hyperlink ref="L31" r:id="rId28" display="https://www.walmart.com/ip/Miller-Lite-Beer-30-Pack-12-fl-oz-Aluminum-Cans-4-2-ABV-Domestic-Light-Lager/10984520"/>
    <hyperlink ref="L32" r:id="rId29" display="https://www.heb.com/product-detail/lone-star-texas-beer-30-pk-cans/11448020"/>
    <hyperlink ref="L33" r:id="rId30" display="https://www.heb.com/product-detail/michelob-ultra-superior-light-lager-beer-cans-30-pack-12-oz/1484389"/>
    <hyperlink ref="L34" r:id="rId31" display="https://www.heb.com/product-detail/modelo-especial-mexican-lager-import-beer-24-pk-cans/1610273"/>
    <hyperlink ref="L35" r:id="rId32" display="https://www.heb.com/product-detail/white-claw-hard-seltzer-variety-24-pk-cans/3758568"/>
    <hyperlink ref="L36" r:id="rId33" display="https://www.heb.com/product-detail/white-claw-hard-seltzer-hard-seltzer-variety-pack-12-pk-cans-flavor-collection-no-2/3758566"/>
    <hyperlink ref="L37" r:id="rId34" display="https://www.heb.com/product-detail/truly-hard-seltzer-originals-variety-24-pk-cans/3495514"/>
    <hyperlink ref="L38" r:id="rId35" display="https://www.heb.com/product-detail/topo-chico-hard-seltzer-variety-24-pk-cans/632758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227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46" t="s">
        <v>228</v>
      </c>
    </row>
    <row r="4" customFormat="false" ht="26.85" hidden="false" customHeight="false" outlineLevel="0" collapsed="false">
      <c r="A4" s="46" t="s">
        <v>229</v>
      </c>
    </row>
    <row r="5" customFormat="false" ht="15" hidden="false" customHeight="false" outlineLevel="0" collapsed="false">
      <c r="A5" s="46" t="s">
        <v>230</v>
      </c>
    </row>
    <row r="6" customFormat="false" ht="26.85" hidden="false" customHeight="false" outlineLevel="0" collapsed="false">
      <c r="A6" s="46" t="s">
        <v>231</v>
      </c>
    </row>
    <row r="7" customFormat="false" ht="26.85" hidden="false" customHeight="false" outlineLevel="0" collapsed="false">
      <c r="A7" s="46" t="s">
        <v>232</v>
      </c>
    </row>
    <row r="8" customFormat="false" ht="15" hidden="false" customHeight="false" outlineLevel="0" collapsed="false">
      <c r="A8" s="46" t="s">
        <v>233</v>
      </c>
    </row>
    <row r="9" customFormat="false" ht="26.85" hidden="false" customHeight="false" outlineLevel="0" collapsed="false">
      <c r="A9" s="46" t="s">
        <v>234</v>
      </c>
    </row>
    <row r="10" customFormat="false" ht="15" hidden="false" customHeight="false" outlineLevel="0" collapsed="false">
      <c r="A10" s="46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2026-10-05T15:00:42Z</dcterms:created>
  <dc:creator>openpyxl</dc:creator>
  <dc:description/>
  <dc:language>en-US</dc:language>
  <cp:lastModifiedBy/>
  <dcterms:modified xsi:type="dcterms:W3CDTF">2026-10-05T15:00:42Z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