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nks Recipe" sheetId="1" state="visible" r:id="rId3"/>
    <sheet name="Shopping Carts" sheetId="2" state="visible" r:id="rId4"/>
    <sheet name="Full Event 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<sst xmlns="http://schemas.openxmlformats.org/spreadsheetml/2006/main" count="167" uniqueCount="92">
  <si>
    <t xml:space="preserve">MOTION · AFTERIMAGE 001 — Devil's Night</t>
  </si>
  <si>
    <t xml:space="preserve">Finalized drinks recipe — 2 batches (vodka + tequila jungle juice) + canned alcohol. BYOB recommended on top of this.</t>
  </si>
  <si>
    <t xml:space="preserve">VODKA JUNGLE JUICE — about 2.5 gal batch</t>
  </si>
  <si>
    <t xml:space="preserve">Ingredient</t>
  </si>
  <si>
    <t xml:space="preserve">Qty</t>
  </si>
  <si>
    <t xml:space="preserve">Notes</t>
  </si>
  <si>
    <t xml:space="preserve">Unit Price</t>
  </si>
  <si>
    <t xml:space="preserve">Qty Needed</t>
  </si>
  <si>
    <t xml:space="preserve">Line Cost</t>
  </si>
  <si>
    <t xml:space="preserve">Svedka Vodka</t>
  </si>
  <si>
    <t xml:space="preserve">1.75 L</t>
  </si>
  <si>
    <t xml:space="preserve">80 proof</t>
  </si>
  <si>
    <t xml:space="preserve">Hawaiian Punch Fruit Juicy Red</t>
  </si>
  <si>
    <t xml:space="preserve">1 gal</t>
  </si>
  <si>
    <t xml:space="preserve">Dole 100% Pineapple Juice</t>
  </si>
  <si>
    <t xml:space="preserve">46 oz can</t>
  </si>
  <si>
    <t xml:space="preserve">stands in for 64oz called for</t>
  </si>
  <si>
    <t xml:space="preserve">Sprite</t>
  </si>
  <si>
    <t xml:space="preserve">2 L</t>
  </si>
  <si>
    <t xml:space="preserve">Batch total</t>
  </si>
  <si>
    <t xml:space="preserve">TEQUILA JUNGLE JUICE — about 2.7 gal batch</t>
  </si>
  <si>
    <t xml:space="preserve">Lunazul Tequila Blanco</t>
  </si>
  <si>
    <t xml:space="preserve">DeKuyper Triple Sec</t>
  </si>
  <si>
    <t xml:space="preserve">750 mL</t>
  </si>
  <si>
    <t xml:space="preserve">15% ABV</t>
  </si>
  <si>
    <t xml:space="preserve">H-E-B Limeade (frozen concentrate)</t>
  </si>
  <si>
    <t xml:space="preserve">12 oz</t>
  </si>
  <si>
    <t xml:space="preserve">estimate</t>
  </si>
  <si>
    <t xml:space="preserve">Ocean Spray Cranberry Juice Cocktail</t>
  </si>
  <si>
    <t xml:space="preserve">~96 oz</t>
  </si>
  <si>
    <t xml:space="preserve">estimate, exact size unconfirmed online</t>
  </si>
  <si>
    <t xml:space="preserve">CANS &amp; SPECIALTY</t>
  </si>
  <si>
    <t xml:space="preserve">White Claw Variety 24-pack</t>
  </si>
  <si>
    <t xml:space="preserve">12 oz cans</t>
  </si>
  <si>
    <t xml:space="preserve">Miller Lite 30-pack</t>
  </si>
  <si>
    <t xml:space="preserve">showed out-of-stock online when checked — confirm in-store</t>
  </si>
  <si>
    <t xml:space="preserve">Soju</t>
  </si>
  <si>
    <t xml:space="preserve">bottle</t>
  </si>
  <si>
    <t xml:space="preserve">for HE//THEY's rider — estimate</t>
  </si>
  <si>
    <t xml:space="preserve">Section total</t>
  </si>
  <si>
    <t xml:space="preserve">DRINKS GRAND TOTAL (pre-tax)</t>
  </si>
  <si>
    <t xml:space="preserve">Austin sales tax (8.25%)</t>
  </si>
  <si>
    <t xml:space="preserve">DRINKS TOTAL (with tax)</t>
  </si>
  <si>
    <t xml:space="preserve">~170 standard drinks covers about 55 drinkers at 3 each. BYOB tops up beyond that. Figures in blue below are estimates (price not confirmed online this pass) — everything else was checked live against Walmart/H-E-B listings on 13 Oct 2026.</t>
  </si>
  <si>
    <t xml:space="preserve">Shopping carts by stop — exactly what to buy where</t>
  </si>
  <si>
    <t xml:space="preserve">TX law: hard liquor only from a package store. Beer/seltzer and mixers can be grocery. Buy liquor by Thu 29 Oct (stores closed Sun).</t>
  </si>
  <si>
    <t xml:space="preserve">CART 1 · LIQUOR STORE (Twin Liquors / WB Liquors)</t>
  </si>
  <si>
    <t xml:space="preserve">Item</t>
  </si>
  <si>
    <t xml:space="preserve">Size</t>
  </si>
  <si>
    <t xml:space="preserve">Confirmed?</t>
  </si>
  <si>
    <t xml:space="preserve">Confirmed</t>
  </si>
  <si>
    <t xml:space="preserve">Soju (he/they rider)</t>
  </si>
  <si>
    <t xml:space="preserve">Estimate</t>
  </si>
  <si>
    <t xml:space="preserve">Cart total</t>
  </si>
  <si>
    <t xml:space="preserve">CART 2 · GROCERY (H-E-B or Walmart)</t>
  </si>
  <si>
    <t xml:space="preserve">46 oz</t>
  </si>
  <si>
    <t xml:space="preserve">H-E-B Limeade concentrate</t>
  </si>
  <si>
    <t xml:space="preserve">Confirm in-store</t>
  </si>
  <si>
    <t xml:space="preserve">Water (case) + napkins</t>
  </si>
  <si>
    <t xml:space="preserve">—</t>
  </si>
  <si>
    <t xml:space="preserve">CART 3 · SAM'S CLUB</t>
  </si>
  <si>
    <t xml:space="preserve">Member's Mark Clear Plastic Cups</t>
  </si>
  <si>
    <t xml:space="preserve">16 oz, 132 ct</t>
  </si>
  <si>
    <t xml:space="preserve">CART 4 · ICE (day-of, Twice the Ice / Texas Cold Front, Pflugerville)</t>
  </si>
  <si>
    <t xml:space="preserve">Bagged ice (~20 lb bags, ~160 lb total)</t>
  </si>
  <si>
    <t xml:space="preserve">20 lb bag</t>
  </si>
  <si>
    <t xml:space="preserve">COMBINED CARTS TOTAL (pre-tax)</t>
  </si>
  <si>
    <t xml:space="preserve">Sales tax (8.25%) on liquor + grocery + cups (ice excluded)</t>
  </si>
  <si>
    <t xml:space="preserve">EVERYTHING-TO-BUY TOTAL</t>
  </si>
  <si>
    <t xml:space="preserve">MOTION · AFTERIMAGE 001 — Full Event Budget</t>
  </si>
  <si>
    <t xml:space="preserve">Pool: $450 (Jovanni $150 + Haven $150 + Alex $150). DJs ($575) and CDJ rental ($345) are funded separately by Jovanni, not from the pool.</t>
  </si>
  <si>
    <t xml:space="preserve">Cost</t>
  </si>
  <si>
    <t xml:space="preserve">Drinks + ice + cups (Shopping Carts tab)</t>
  </si>
  <si>
    <t xml:space="preserve">Carts 1-4 combined, with tax</t>
  </si>
  <si>
    <t xml:space="preserve">Decor (mirror ball rental, red bulbs, black cloth)</t>
  </si>
  <si>
    <t xml:space="preserve">Unchanged estimate from prior plan</t>
  </si>
  <si>
    <t xml:space="preserve">DIY signage (eye posters, Cricut labels)</t>
  </si>
  <si>
    <t xml:space="preserve">Unchanged estimate</t>
  </si>
  <si>
    <t xml:space="preserve">Smoking supplies (cigarettes, lighters, decals)</t>
  </si>
  <si>
    <t xml:space="preserve">POOL SPEND TOTAL</t>
  </si>
  <si>
    <t xml:space="preserve">Pool available ($150 x 3)</t>
  </si>
  <si>
    <t xml:space="preserve">BUFFER REMAINING</t>
  </si>
  <si>
    <t xml:space="preserve">Outside the pool (Jovanni funds personally)</t>
  </si>
  <si>
    <t xml:space="preserve">DJ fees (HE//THEY $300 + Rohan $275)</t>
  </si>
  <si>
    <t xml:space="preserve">Still unpaid as of 13 Oct — pay before the 30th</t>
  </si>
  <si>
    <t xml:space="preserve">Glamz fee</t>
  </si>
  <si>
    <t xml:space="preserve">TBD — not yet confirmed, add once known</t>
  </si>
  <si>
    <t xml:space="preserve">CDJ + mixer rental (Rock n Roll Rentals, self pickup)</t>
  </si>
  <si>
    <t xml:space="preserve">2x CDJ-2000NXS2 + DJM-900NXS2, weekend rate</t>
  </si>
  <si>
    <t xml:space="preserve">Cap 01 merch</t>
  </si>
  <si>
    <t xml:space="preserve">Estimate, colourway/quote still open</t>
  </si>
  <si>
    <t xml:space="preserve">OUTSIDE-POOL TOTAL (Jovanni)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</si>
</sst>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2"/>
      <color rgb="FF0F6B2E"/>
      <name val="Arial"/>
      <family val="0"/>
      <charset val="1"/>
    </font>
    <font>
      <b val="true"/>
      <sz val="12"/>
      <color rgb="FF1E276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CADCFC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B2E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111111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5" t="s">
        <v>11</v>
      </c>
      <c r="D6" s="6" t="n">
        <v>17.98</v>
      </c>
      <c r="E6" s="5" t="n">
        <v>1</v>
      </c>
      <c r="F6" s="6" t="n">
        <f aca="false">D6*E6</f>
        <v>17.98</v>
      </c>
    </row>
    <row r="7" customFormat="false" ht="15" hidden="false" customHeight="false" outlineLevel="0" collapsed="false">
      <c r="A7" s="5" t="s">
        <v>12</v>
      </c>
      <c r="B7" s="5" t="s">
        <v>13</v>
      </c>
      <c r="C7" s="5"/>
      <c r="D7" s="6" t="n">
        <v>7.48</v>
      </c>
      <c r="E7" s="5" t="n">
        <v>1</v>
      </c>
      <c r="F7" s="6" t="n">
        <f aca="false">D7*E7</f>
        <v>7.48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  <c r="D8" s="7" t="n">
        <v>3.5</v>
      </c>
      <c r="E8" s="5" t="n">
        <v>1</v>
      </c>
      <c r="F8" s="6" t="n">
        <f aca="false">D8*E8</f>
        <v>3.5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/>
      <c r="D9" s="6" t="n">
        <v>2.97</v>
      </c>
      <c r="E9" s="5" t="n">
        <v>1</v>
      </c>
      <c r="F9" s="6" t="n">
        <f aca="false">D9*E9</f>
        <v>2.97</v>
      </c>
    </row>
    <row r="10" customFormat="false" ht="15" hidden="false" customHeight="false" outlineLevel="0" collapsed="false">
      <c r="E10" s="8" t="s">
        <v>19</v>
      </c>
      <c r="F10" s="9" t="n">
        <f aca="false">SUM(F6:F9)</f>
        <v>31.93</v>
      </c>
    </row>
    <row r="12" customFormat="false" ht="15" hidden="false" customHeight="false" outlineLevel="0" collapsed="false">
      <c r="A12" s="3" t="s">
        <v>20</v>
      </c>
      <c r="B12" s="3"/>
      <c r="C12" s="3"/>
      <c r="D12" s="3"/>
      <c r="E12" s="3"/>
      <c r="F12" s="3"/>
    </row>
    <row r="13" customFormat="false" ht="26.85" hidden="false" customHeight="fals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</row>
    <row r="14" customFormat="false" ht="15" hidden="false" customHeight="false" outlineLevel="0" collapsed="false">
      <c r="A14" s="5" t="s">
        <v>21</v>
      </c>
      <c r="B14" s="5" t="s">
        <v>10</v>
      </c>
      <c r="C14" s="5" t="s">
        <v>11</v>
      </c>
      <c r="D14" s="6" t="n">
        <v>34.77</v>
      </c>
      <c r="E14" s="5" t="n">
        <v>1</v>
      </c>
      <c r="F14" s="6" t="n">
        <f aca="false">D14*E14</f>
        <v>34.77</v>
      </c>
    </row>
    <row r="15" customFormat="false" ht="15" hidden="false" customHeight="false" outlineLevel="0" collapsed="false">
      <c r="A15" s="5" t="s">
        <v>22</v>
      </c>
      <c r="B15" s="5" t="s">
        <v>23</v>
      </c>
      <c r="C15" s="5" t="s">
        <v>24</v>
      </c>
      <c r="D15" s="6" t="n">
        <v>7.48</v>
      </c>
      <c r="E15" s="5" t="n">
        <v>1</v>
      </c>
      <c r="F15" s="6" t="n">
        <f aca="false">D15*E15</f>
        <v>7.48</v>
      </c>
    </row>
    <row r="16" customFormat="false" ht="15" hidden="false" customHeight="false" outlineLevel="0" collapsed="false">
      <c r="A16" s="5" t="s">
        <v>25</v>
      </c>
      <c r="B16" s="5" t="s">
        <v>26</v>
      </c>
      <c r="C16" s="5" t="s">
        <v>27</v>
      </c>
      <c r="D16" s="7" t="n">
        <v>1.5</v>
      </c>
      <c r="E16" s="5" t="n">
        <v>2</v>
      </c>
      <c r="F16" s="6" t="n">
        <f aca="false">D16*E16</f>
        <v>3</v>
      </c>
    </row>
    <row r="17" customFormat="false" ht="15" hidden="false" customHeight="false" outlineLevel="0" collapsed="false">
      <c r="A17" s="5" t="s">
        <v>28</v>
      </c>
      <c r="B17" s="5" t="s">
        <v>29</v>
      </c>
      <c r="C17" s="5" t="s">
        <v>30</v>
      </c>
      <c r="D17" s="7" t="n">
        <v>5.68</v>
      </c>
      <c r="E17" s="5" t="n">
        <v>1</v>
      </c>
      <c r="F17" s="6" t="n">
        <f aca="false">D17*E17</f>
        <v>5.68</v>
      </c>
    </row>
    <row r="18" customFormat="false" ht="15" hidden="false" customHeight="false" outlineLevel="0" collapsed="false">
      <c r="A18" s="5" t="s">
        <v>17</v>
      </c>
      <c r="B18" s="5" t="s">
        <v>18</v>
      </c>
      <c r="C18" s="5"/>
      <c r="D18" s="6" t="n">
        <v>2.97</v>
      </c>
      <c r="E18" s="5" t="n">
        <v>1</v>
      </c>
      <c r="F18" s="6" t="n">
        <f aca="false">D18*E18</f>
        <v>2.97</v>
      </c>
    </row>
    <row r="19" customFormat="false" ht="15" hidden="false" customHeight="false" outlineLevel="0" collapsed="false">
      <c r="E19" s="8" t="s">
        <v>19</v>
      </c>
      <c r="F19" s="9" t="n">
        <f aca="false">SUM(F14:F18)</f>
        <v>53.9</v>
      </c>
    </row>
    <row r="21" customFormat="false" ht="15" hidden="false" customHeight="false" outlineLevel="0" collapsed="false">
      <c r="A21" s="3" t="s">
        <v>31</v>
      </c>
      <c r="B21" s="3"/>
      <c r="C21" s="3"/>
      <c r="D21" s="3"/>
      <c r="E21" s="3"/>
      <c r="F21" s="3"/>
    </row>
    <row r="22" customFormat="false" ht="26.85" hidden="false" customHeight="fals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</row>
    <row r="23" customFormat="false" ht="15" hidden="false" customHeight="false" outlineLevel="0" collapsed="false">
      <c r="A23" s="5" t="s">
        <v>32</v>
      </c>
      <c r="B23" s="5" t="s">
        <v>33</v>
      </c>
      <c r="C23" s="5"/>
      <c r="D23" s="6" t="n">
        <v>33.46</v>
      </c>
      <c r="E23" s="5" t="n">
        <v>1</v>
      </c>
      <c r="F23" s="6" t="n">
        <f aca="false">D23*E23</f>
        <v>33.46</v>
      </c>
    </row>
    <row r="24" customFormat="false" ht="15" hidden="false" customHeight="false" outlineLevel="0" collapsed="false">
      <c r="A24" s="5" t="s">
        <v>34</v>
      </c>
      <c r="B24" s="5" t="s">
        <v>33</v>
      </c>
      <c r="C24" s="5" t="s">
        <v>35</v>
      </c>
      <c r="D24" s="7" t="n">
        <v>23</v>
      </c>
      <c r="E24" s="5" t="n">
        <v>1</v>
      </c>
      <c r="F24" s="6" t="n">
        <f aca="false">D24*E24</f>
        <v>23</v>
      </c>
    </row>
    <row r="25" customFormat="false" ht="15" hidden="false" customHeight="false" outlineLevel="0" collapsed="false">
      <c r="A25" s="5" t="s">
        <v>36</v>
      </c>
      <c r="B25" s="5" t="s">
        <v>37</v>
      </c>
      <c r="C25" s="5" t="s">
        <v>38</v>
      </c>
      <c r="D25" s="7" t="n">
        <v>13</v>
      </c>
      <c r="E25" s="5" t="n">
        <v>2</v>
      </c>
      <c r="F25" s="6" t="n">
        <f aca="false">D25*E25</f>
        <v>26</v>
      </c>
    </row>
    <row r="26" customFormat="false" ht="15" hidden="false" customHeight="false" outlineLevel="0" collapsed="false">
      <c r="E26" s="8" t="s">
        <v>39</v>
      </c>
      <c r="F26" s="9" t="n">
        <f aca="false">SUM(F23:F25)</f>
        <v>82.46</v>
      </c>
    </row>
    <row r="28" customFormat="false" ht="15" hidden="false" customHeight="false" outlineLevel="0" collapsed="false">
      <c r="A28" s="10" t="s">
        <v>40</v>
      </c>
      <c r="F28" s="11" t="n">
        <f aca="false">F10+F19+F26</f>
        <v>168.29</v>
      </c>
    </row>
    <row r="29" customFormat="false" ht="15" hidden="false" customHeight="false" outlineLevel="0" collapsed="false">
      <c r="A29" s="12" t="s">
        <v>41</v>
      </c>
      <c r="F29" s="13" t="n">
        <f aca="false">F28*0.0825</f>
        <v>13.883925</v>
      </c>
    </row>
    <row r="30" customFormat="false" ht="16.15" hidden="false" customHeight="false" outlineLevel="0" collapsed="false">
      <c r="A30" s="14" t="s">
        <v>42</v>
      </c>
      <c r="F30" s="15" t="n">
        <f aca="false">F28+F29</f>
        <v>182.173925</v>
      </c>
    </row>
    <row r="32" customFormat="false" ht="15" hidden="false" customHeight="false" outlineLevel="0" collapsed="false">
      <c r="A32" s="16" t="s">
        <v>43</v>
      </c>
      <c r="B32" s="16"/>
      <c r="C32" s="16"/>
      <c r="D32" s="16"/>
      <c r="E32" s="16"/>
      <c r="F32" s="16"/>
    </row>
  </sheetData>
  <mergeCells count="6">
    <mergeCell ref="A1:F1"/>
    <mergeCell ref="A2:F2"/>
    <mergeCell ref="A4:F4"/>
    <mergeCell ref="A12:F12"/>
    <mergeCell ref="A21:F2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7" t="s">
        <v>44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8" t="s">
        <v>46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A5" s="19" t="s">
        <v>47</v>
      </c>
      <c r="B5" s="19" t="s">
        <v>48</v>
      </c>
      <c r="C5" s="19" t="s">
        <v>4</v>
      </c>
      <c r="D5" s="19" t="s">
        <v>6</v>
      </c>
      <c r="E5" s="19" t="s">
        <v>8</v>
      </c>
      <c r="F5" s="19" t="s">
        <v>49</v>
      </c>
    </row>
    <row r="6" customFormat="false" ht="15" hidden="false" customHeight="false" outlineLevel="0" collapsed="false">
      <c r="A6" s="20" t="s">
        <v>9</v>
      </c>
      <c r="B6" s="20" t="s">
        <v>10</v>
      </c>
      <c r="C6" s="20" t="n">
        <v>1</v>
      </c>
      <c r="D6" s="21" t="n">
        <v>17.98</v>
      </c>
      <c r="E6" s="21" t="n">
        <f aca="false">C6*D6</f>
        <v>17.98</v>
      </c>
      <c r="F6" s="20" t="s">
        <v>50</v>
      </c>
    </row>
    <row r="7" customFormat="false" ht="15" hidden="false" customHeight="false" outlineLevel="0" collapsed="false">
      <c r="A7" s="20" t="s">
        <v>21</v>
      </c>
      <c r="B7" s="20" t="s">
        <v>10</v>
      </c>
      <c r="C7" s="20" t="n">
        <v>1</v>
      </c>
      <c r="D7" s="21" t="n">
        <v>34.77</v>
      </c>
      <c r="E7" s="21" t="n">
        <f aca="false">C7*D7</f>
        <v>34.77</v>
      </c>
      <c r="F7" s="20" t="s">
        <v>50</v>
      </c>
    </row>
    <row r="8" customFormat="false" ht="15" hidden="false" customHeight="false" outlineLevel="0" collapsed="false">
      <c r="A8" s="20" t="s">
        <v>22</v>
      </c>
      <c r="B8" s="20" t="s">
        <v>23</v>
      </c>
      <c r="C8" s="20" t="n">
        <v>1</v>
      </c>
      <c r="D8" s="21" t="n">
        <v>7.48</v>
      </c>
      <c r="E8" s="21" t="n">
        <f aca="false">C8*D8</f>
        <v>7.48</v>
      </c>
      <c r="F8" s="20" t="s">
        <v>50</v>
      </c>
    </row>
    <row r="9" customFormat="false" ht="15" hidden="false" customHeight="false" outlineLevel="0" collapsed="false">
      <c r="A9" s="20" t="s">
        <v>51</v>
      </c>
      <c r="B9" s="20" t="s">
        <v>37</v>
      </c>
      <c r="C9" s="20" t="n">
        <v>2</v>
      </c>
      <c r="D9" s="7" t="n">
        <v>13</v>
      </c>
      <c r="E9" s="21" t="n">
        <f aca="false">C9*D9</f>
        <v>26</v>
      </c>
      <c r="F9" s="20" t="s">
        <v>52</v>
      </c>
    </row>
    <row r="10" customFormat="false" ht="15" hidden="false" customHeight="false" outlineLevel="0" collapsed="false">
      <c r="D10" s="8" t="s">
        <v>53</v>
      </c>
      <c r="E10" s="9" t="n">
        <f aca="false">SUM(E6:E9)</f>
        <v>86.23</v>
      </c>
    </row>
    <row r="12" customFormat="false" ht="15" hidden="false" customHeight="false" outlineLevel="0" collapsed="false">
      <c r="A12" s="18" t="s">
        <v>54</v>
      </c>
      <c r="B12" s="18"/>
      <c r="C12" s="18"/>
      <c r="D12" s="18"/>
      <c r="E12" s="18"/>
      <c r="F12" s="18"/>
    </row>
    <row r="13" customFormat="false" ht="15" hidden="false" customHeight="false" outlineLevel="0" collapsed="false">
      <c r="A13" s="19" t="s">
        <v>47</v>
      </c>
      <c r="B13" s="19" t="s">
        <v>48</v>
      </c>
      <c r="C13" s="19" t="s">
        <v>4</v>
      </c>
      <c r="D13" s="19" t="s">
        <v>6</v>
      </c>
      <c r="E13" s="19" t="s">
        <v>8</v>
      </c>
      <c r="F13" s="19" t="s">
        <v>49</v>
      </c>
    </row>
    <row r="14" customFormat="false" ht="15" hidden="false" customHeight="false" outlineLevel="0" collapsed="false">
      <c r="A14" s="20" t="s">
        <v>12</v>
      </c>
      <c r="B14" s="20" t="s">
        <v>13</v>
      </c>
      <c r="C14" s="20" t="n">
        <v>1</v>
      </c>
      <c r="D14" s="21" t="n">
        <v>7.48</v>
      </c>
      <c r="E14" s="21" t="n">
        <f aca="false">C14*D14</f>
        <v>7.48</v>
      </c>
      <c r="F14" s="20" t="s">
        <v>50</v>
      </c>
    </row>
    <row r="15" customFormat="false" ht="15" hidden="false" customHeight="false" outlineLevel="0" collapsed="false">
      <c r="A15" s="20" t="s">
        <v>14</v>
      </c>
      <c r="B15" s="20" t="s">
        <v>55</v>
      </c>
      <c r="C15" s="20" t="n">
        <v>1</v>
      </c>
      <c r="D15" s="7" t="n">
        <v>3.5</v>
      </c>
      <c r="E15" s="21" t="n">
        <f aca="false">C15*D15</f>
        <v>3.5</v>
      </c>
      <c r="F15" s="20" t="s">
        <v>52</v>
      </c>
    </row>
    <row r="16" customFormat="false" ht="15" hidden="false" customHeight="false" outlineLevel="0" collapsed="false">
      <c r="A16" s="20" t="s">
        <v>17</v>
      </c>
      <c r="B16" s="20" t="s">
        <v>18</v>
      </c>
      <c r="C16" s="20" t="n">
        <v>2</v>
      </c>
      <c r="D16" s="21" t="n">
        <v>2.97</v>
      </c>
      <c r="E16" s="21" t="n">
        <f aca="false">C16*D16</f>
        <v>5.94</v>
      </c>
      <c r="F16" s="20" t="s">
        <v>50</v>
      </c>
    </row>
    <row r="17" customFormat="false" ht="15" hidden="false" customHeight="false" outlineLevel="0" collapsed="false">
      <c r="A17" s="20" t="s">
        <v>56</v>
      </c>
      <c r="B17" s="20" t="s">
        <v>26</v>
      </c>
      <c r="C17" s="20" t="n">
        <v>2</v>
      </c>
      <c r="D17" s="7" t="n">
        <v>1.5</v>
      </c>
      <c r="E17" s="21" t="n">
        <f aca="false">C17*D17</f>
        <v>3</v>
      </c>
      <c r="F17" s="20" t="s">
        <v>52</v>
      </c>
    </row>
    <row r="18" customFormat="false" ht="15" hidden="false" customHeight="false" outlineLevel="0" collapsed="false">
      <c r="A18" s="20" t="s">
        <v>28</v>
      </c>
      <c r="B18" s="20" t="s">
        <v>29</v>
      </c>
      <c r="C18" s="20" t="n">
        <v>1</v>
      </c>
      <c r="D18" s="7" t="n">
        <v>5.68</v>
      </c>
      <c r="E18" s="21" t="n">
        <f aca="false">C18*D18</f>
        <v>5.68</v>
      </c>
      <c r="F18" s="20" t="s">
        <v>52</v>
      </c>
    </row>
    <row r="19" customFormat="false" ht="15" hidden="false" customHeight="false" outlineLevel="0" collapsed="false">
      <c r="A19" s="20" t="s">
        <v>32</v>
      </c>
      <c r="B19" s="20" t="s">
        <v>33</v>
      </c>
      <c r="C19" s="20" t="n">
        <v>1</v>
      </c>
      <c r="D19" s="21" t="n">
        <v>33.46</v>
      </c>
      <c r="E19" s="21" t="n">
        <f aca="false">C19*D19</f>
        <v>33.46</v>
      </c>
      <c r="F19" s="20" t="s">
        <v>50</v>
      </c>
    </row>
    <row r="20" customFormat="false" ht="15" hidden="false" customHeight="false" outlineLevel="0" collapsed="false">
      <c r="A20" s="20" t="s">
        <v>34</v>
      </c>
      <c r="B20" s="20" t="s">
        <v>33</v>
      </c>
      <c r="C20" s="20" t="n">
        <v>1</v>
      </c>
      <c r="D20" s="21" t="n">
        <v>23</v>
      </c>
      <c r="E20" s="21" t="n">
        <f aca="false">C20*D20</f>
        <v>23</v>
      </c>
      <c r="F20" s="20" t="s">
        <v>57</v>
      </c>
    </row>
    <row r="21" customFormat="false" ht="15" hidden="false" customHeight="false" outlineLevel="0" collapsed="false">
      <c r="A21" s="20" t="s">
        <v>58</v>
      </c>
      <c r="B21" s="20" t="s">
        <v>59</v>
      </c>
      <c r="C21" s="20" t="n">
        <v>1</v>
      </c>
      <c r="D21" s="7" t="n">
        <v>10</v>
      </c>
      <c r="E21" s="21" t="n">
        <f aca="false">C21*D21</f>
        <v>10</v>
      </c>
      <c r="F21" s="20" t="s">
        <v>52</v>
      </c>
    </row>
    <row r="22" customFormat="false" ht="15" hidden="false" customHeight="false" outlineLevel="0" collapsed="false">
      <c r="D22" s="8" t="s">
        <v>53</v>
      </c>
      <c r="E22" s="9" t="n">
        <f aca="false">SUM(E14:E21)</f>
        <v>92.06</v>
      </c>
    </row>
    <row r="24" customFormat="false" ht="15" hidden="false" customHeight="false" outlineLevel="0" collapsed="false">
      <c r="A24" s="18" t="s">
        <v>60</v>
      </c>
      <c r="B24" s="18"/>
      <c r="C24" s="18"/>
      <c r="D24" s="18"/>
      <c r="E24" s="18"/>
      <c r="F24" s="18"/>
    </row>
    <row r="25" customFormat="false" ht="15" hidden="false" customHeight="false" outlineLevel="0" collapsed="false">
      <c r="A25" s="19" t="s">
        <v>47</v>
      </c>
      <c r="B25" s="19" t="s">
        <v>48</v>
      </c>
      <c r="C25" s="19" t="s">
        <v>4</v>
      </c>
      <c r="D25" s="19" t="s">
        <v>6</v>
      </c>
      <c r="E25" s="19" t="s">
        <v>8</v>
      </c>
      <c r="F25" s="19" t="s">
        <v>49</v>
      </c>
    </row>
    <row r="26" customFormat="false" ht="15" hidden="false" customHeight="false" outlineLevel="0" collapsed="false">
      <c r="A26" s="20" t="s">
        <v>61</v>
      </c>
      <c r="B26" s="20" t="s">
        <v>62</v>
      </c>
      <c r="C26" s="20" t="n">
        <v>2</v>
      </c>
      <c r="D26" s="21" t="n">
        <v>11.28</v>
      </c>
      <c r="E26" s="21" t="n">
        <f aca="false">C26*D26</f>
        <v>22.56</v>
      </c>
      <c r="F26" s="20" t="s">
        <v>50</v>
      </c>
    </row>
    <row r="27" customFormat="false" ht="15" hidden="false" customHeight="false" outlineLevel="0" collapsed="false">
      <c r="D27" s="8" t="s">
        <v>53</v>
      </c>
      <c r="E27" s="9" t="n">
        <f aca="false">SUM(E26:E26)</f>
        <v>22.56</v>
      </c>
    </row>
    <row r="29" customFormat="false" ht="15" hidden="false" customHeight="false" outlineLevel="0" collapsed="false">
      <c r="A29" s="18" t="s">
        <v>63</v>
      </c>
      <c r="B29" s="18"/>
      <c r="C29" s="18"/>
      <c r="D29" s="18"/>
      <c r="E29" s="18"/>
      <c r="F29" s="18"/>
    </row>
    <row r="30" customFormat="false" ht="15" hidden="false" customHeight="false" outlineLevel="0" collapsed="false">
      <c r="A30" s="19" t="s">
        <v>47</v>
      </c>
      <c r="B30" s="19" t="s">
        <v>48</v>
      </c>
      <c r="C30" s="19" t="s">
        <v>4</v>
      </c>
      <c r="D30" s="19" t="s">
        <v>6</v>
      </c>
      <c r="E30" s="19" t="s">
        <v>8</v>
      </c>
      <c r="F30" s="19" t="s">
        <v>49</v>
      </c>
    </row>
    <row r="31" customFormat="false" ht="15" hidden="false" customHeight="false" outlineLevel="0" collapsed="false">
      <c r="A31" s="20" t="s">
        <v>64</v>
      </c>
      <c r="B31" s="20" t="s">
        <v>65</v>
      </c>
      <c r="C31" s="20" t="n">
        <v>8</v>
      </c>
      <c r="D31" s="7" t="n">
        <v>3</v>
      </c>
      <c r="E31" s="21" t="n">
        <f aca="false">C31*D31</f>
        <v>24</v>
      </c>
      <c r="F31" s="20" t="s">
        <v>52</v>
      </c>
    </row>
    <row r="32" customFormat="false" ht="15" hidden="false" customHeight="false" outlineLevel="0" collapsed="false">
      <c r="D32" s="8" t="s">
        <v>53</v>
      </c>
      <c r="E32" s="9" t="n">
        <f aca="false">SUM(E31:E31)</f>
        <v>24</v>
      </c>
    </row>
    <row r="34" customFormat="false" ht="15" hidden="false" customHeight="false" outlineLevel="0" collapsed="false">
      <c r="A34" s="10" t="s">
        <v>66</v>
      </c>
      <c r="E34" s="11" t="n">
        <f aca="false">E10+E22+E27+E32</f>
        <v>224.85</v>
      </c>
    </row>
    <row r="35" customFormat="false" ht="15" hidden="false" customHeight="false" outlineLevel="0" collapsed="false">
      <c r="A35" s="12" t="s">
        <v>67</v>
      </c>
      <c r="E35" s="13" t="n">
        <f aca="false">(E10+E22+E27)*0.0825</f>
        <v>16.570125</v>
      </c>
    </row>
    <row r="36" customFormat="false" ht="16.15" hidden="false" customHeight="false" outlineLevel="0" collapsed="false">
      <c r="A36" s="14" t="s">
        <v>68</v>
      </c>
      <c r="E36" s="15" t="n">
        <f aca="false">E34+E35</f>
        <v>241.420125</v>
      </c>
    </row>
  </sheetData>
  <mergeCells count="6">
    <mergeCell ref="A1:F1"/>
    <mergeCell ref="A2:F2"/>
    <mergeCell ref="A4:F4"/>
    <mergeCell ref="A12:F12"/>
    <mergeCell ref="A24:F24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30"/>
  </cols>
  <sheetData>
    <row r="1" customFormat="false" ht="19.7" hidden="false" customHeight="false" outlineLevel="0" collapsed="false">
      <c r="A1" s="1" t="s">
        <v>69</v>
      </c>
      <c r="B1" s="1"/>
      <c r="C1" s="1"/>
    </row>
    <row r="2" customFormat="false" ht="15" hidden="false" customHeight="false" outlineLevel="0" collapsed="false">
      <c r="A2" s="2" t="s">
        <v>70</v>
      </c>
      <c r="B2" s="2"/>
      <c r="C2" s="2"/>
    </row>
    <row r="4" customFormat="false" ht="15" hidden="false" customHeight="false" outlineLevel="0" collapsed="false">
      <c r="A4" s="4" t="s">
        <v>47</v>
      </c>
      <c r="B4" s="4" t="s">
        <v>71</v>
      </c>
      <c r="C4" s="4" t="s">
        <v>5</v>
      </c>
    </row>
    <row r="5" customFormat="false" ht="15" hidden="false" customHeight="false" outlineLevel="0" collapsed="false">
      <c r="A5" s="5" t="s">
        <v>72</v>
      </c>
      <c r="B5" s="6" t="n">
        <f aca="false">'Shopping Carts'!E36</f>
        <v>241.420125</v>
      </c>
      <c r="C5" s="5" t="s">
        <v>73</v>
      </c>
    </row>
    <row r="6" customFormat="false" ht="15" hidden="false" customHeight="false" outlineLevel="0" collapsed="false">
      <c r="A6" s="5" t="s">
        <v>74</v>
      </c>
      <c r="B6" s="6" t="n">
        <v>76</v>
      </c>
      <c r="C6" s="5" t="s">
        <v>75</v>
      </c>
    </row>
    <row r="7" customFormat="false" ht="15" hidden="false" customHeight="false" outlineLevel="0" collapsed="false">
      <c r="A7" s="5" t="s">
        <v>76</v>
      </c>
      <c r="B7" s="6" t="n">
        <v>30</v>
      </c>
      <c r="C7" s="5" t="s">
        <v>77</v>
      </c>
    </row>
    <row r="8" customFormat="false" ht="15" hidden="false" customHeight="false" outlineLevel="0" collapsed="false">
      <c r="A8" s="5" t="s">
        <v>78</v>
      </c>
      <c r="B8" s="6" t="n">
        <v>44</v>
      </c>
      <c r="C8" s="5" t="s">
        <v>77</v>
      </c>
    </row>
    <row r="9" customFormat="false" ht="15" hidden="false" customHeight="false" outlineLevel="0" collapsed="false">
      <c r="A9" s="8" t="s">
        <v>79</v>
      </c>
      <c r="B9" s="9" t="n">
        <f aca="false">SUM(B5:B8)</f>
        <v>391.420125</v>
      </c>
    </row>
    <row r="10" customFormat="false" ht="15" hidden="false" customHeight="false" outlineLevel="0" collapsed="false">
      <c r="A10" s="0" t="s">
        <v>80</v>
      </c>
      <c r="B10" s="13" t="n">
        <v>450</v>
      </c>
    </row>
    <row r="11" customFormat="false" ht="15" hidden="false" customHeight="false" outlineLevel="0" collapsed="false">
      <c r="A11" s="22" t="s">
        <v>81</v>
      </c>
      <c r="B11" s="23" t="n">
        <f aca="false">B10-B9</f>
        <v>58.579875</v>
      </c>
    </row>
    <row r="14" customFormat="false" ht="15" hidden="false" customHeight="false" outlineLevel="0" collapsed="false">
      <c r="A14" s="24" t="s">
        <v>82</v>
      </c>
      <c r="B14" s="24"/>
      <c r="C14" s="24"/>
    </row>
    <row r="15" customFormat="false" ht="15" hidden="false" customHeight="false" outlineLevel="0" collapsed="false">
      <c r="A15" s="5" t="s">
        <v>83</v>
      </c>
      <c r="B15" s="6" t="n">
        <v>575</v>
      </c>
      <c r="C15" s="5" t="s">
        <v>84</v>
      </c>
    </row>
    <row r="16" customFormat="false" ht="15" hidden="false" customHeight="false" outlineLevel="0" collapsed="false">
      <c r="A16" s="5" t="s">
        <v>85</v>
      </c>
      <c r="B16" s="6" t="n">
        <v>0</v>
      </c>
      <c r="C16" s="5" t="s">
        <v>86</v>
      </c>
    </row>
    <row r="17" customFormat="false" ht="15" hidden="false" customHeight="false" outlineLevel="0" collapsed="false">
      <c r="A17" s="5" t="s">
        <v>87</v>
      </c>
      <c r="B17" s="6" t="n">
        <v>345</v>
      </c>
      <c r="C17" s="5" t="s">
        <v>88</v>
      </c>
    </row>
    <row r="18" customFormat="false" ht="15" hidden="false" customHeight="false" outlineLevel="0" collapsed="false">
      <c r="A18" s="5" t="s">
        <v>89</v>
      </c>
      <c r="B18" s="6" t="n">
        <v>429</v>
      </c>
      <c r="C18" s="5" t="s">
        <v>90</v>
      </c>
    </row>
    <row r="19" customFormat="false" ht="15" hidden="false" customHeight="false" outlineLevel="0" collapsed="false">
      <c r="A19" s="8" t="s">
        <v>91</v>
      </c>
      <c r="B19" s="9" t="n">
        <f aca="false">SUM(B15:B18)</f>
        <v>1349</v>
      </c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2026-10-13T15:54:50Z</dcterms:created>
  <dc:creator>openpyxl</dc:creator>
  <dc:description/>
  <dc:language>en-US</dc:language>
  <cp:lastModifiedBy/>
  <dcterms:modified xsi:type="dcterms:W3CDTF">2026-10-13T15:54:50Z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